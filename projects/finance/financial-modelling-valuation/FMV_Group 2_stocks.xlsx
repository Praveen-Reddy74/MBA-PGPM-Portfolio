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AD10D782-9538-4096-BC30-9A745D0898E9}" xr6:coauthVersionLast="47" xr6:coauthVersionMax="47" xr10:uidLastSave="{00000000-0000-0000-0000-000000000000}"/>
  <bookViews>
    <workbookView xWindow="-108" yWindow="-108" windowWidth="23256" windowHeight="12456" xr2:uid="{75A185E1-3D68-4643-ABB7-88D053C55155}"/>
  </bookViews>
  <sheets>
    <sheet name="Portfolio Mgmt.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TO">'[1]FCFF Based Valuation'!$T$8:$T$14</definedName>
    <definedName name="CIQWBGuid" hidden="1">"4c07ec0d-a4bd-43e1-8f7d-edc964c69827"</definedName>
    <definedName name="COC">'[2]Data Sheet'!$F$3:$F$17</definedName>
    <definedName name="D_E">'[3]Data Sheet'!$D$4:$D$14</definedName>
    <definedName name="DE">'[1]FCFF Based Valuation'!$R$8:$R$17</definedName>
    <definedName name="FP">'[3]Data Sheet'!$H$4:$H$14</definedName>
    <definedName name="Growth">'[2]Data Sheet'!$D$3:$D$12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hidden="1">#REF!</definedName>
    <definedName name="Planet">'[2]Index Match'!$N$5:$N$13</definedName>
    <definedName name="Planets">'[4]Index Match'!$O$22:$O$30</definedName>
    <definedName name="solver_adj" localSheetId="0" hidden="1">'Portfolio Mgmt.'!$G$83:$G$84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'Portfolio Mgmt.'!$G$86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'Portfolio Mgmt.'!$H$95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Student">'[5]Index Match'!$J$4:$J$17</definedName>
    <definedName name="StudentName">'[6]Index Match'!$C$6:$C$19</definedName>
    <definedName name="Years">'[2]Data Sheet'!$B$3:$B$7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2" l="1"/>
  <c r="G46" i="12"/>
  <c r="H44" i="12"/>
  <c r="G44" i="12"/>
  <c r="M85" i="12" l="1"/>
  <c r="N85" i="12" s="1"/>
  <c r="G86" i="12"/>
  <c r="M69" i="12"/>
  <c r="N69" i="12" s="1"/>
  <c r="G70" i="12"/>
  <c r="G52" i="12"/>
  <c r="G33" i="12"/>
  <c r="H33" i="12"/>
  <c r="G34" i="12"/>
  <c r="H34" i="12"/>
  <c r="G35" i="12"/>
  <c r="H35" i="12"/>
  <c r="G36" i="12"/>
  <c r="H36" i="12"/>
  <c r="G37" i="12"/>
  <c r="H37" i="12"/>
  <c r="G38" i="12"/>
  <c r="H38" i="12"/>
  <c r="G39" i="12"/>
  <c r="H39" i="12"/>
  <c r="G40" i="12"/>
  <c r="H40" i="12"/>
  <c r="G41" i="12"/>
  <c r="H41" i="12"/>
  <c r="G42" i="12"/>
  <c r="H42" i="12"/>
  <c r="H32" i="12"/>
  <c r="G32" i="12"/>
  <c r="H61" i="12" l="1"/>
  <c r="H59" i="12"/>
  <c r="J56" i="12"/>
  <c r="J88" i="12" s="1"/>
  <c r="I51" i="12"/>
  <c r="H51" i="12"/>
  <c r="G54" i="12"/>
  <c r="I52" i="12"/>
  <c r="H52" i="12"/>
  <c r="K60" i="12" l="1"/>
  <c r="I67" i="12"/>
  <c r="I83" i="12"/>
  <c r="H93" i="12" s="1"/>
  <c r="J72" i="12"/>
  <c r="I84" i="12"/>
  <c r="I68" i="12"/>
  <c r="H68" i="12"/>
  <c r="H84" i="12"/>
  <c r="H83" i="12"/>
  <c r="H67" i="12"/>
  <c r="H75" i="12" l="1"/>
  <c r="H91" i="12"/>
  <c r="O69" i="12"/>
  <c r="H77" i="12"/>
  <c r="O85" i="12"/>
  <c r="H95" i="12"/>
</calcChain>
</file>

<file path=xl/sharedStrings.xml><?xml version="1.0" encoding="utf-8"?>
<sst xmlns="http://schemas.openxmlformats.org/spreadsheetml/2006/main" count="49" uniqueCount="22">
  <si>
    <t>r=</t>
  </si>
  <si>
    <t>Years</t>
  </si>
  <si>
    <t>Rtns</t>
  </si>
  <si>
    <t>Prices</t>
  </si>
  <si>
    <t xml:space="preserve">Mean </t>
  </si>
  <si>
    <t>SD σ</t>
  </si>
  <si>
    <t>Portfolio</t>
  </si>
  <si>
    <t>Wts</t>
  </si>
  <si>
    <t xml:space="preserve">Risks </t>
  </si>
  <si>
    <t>BASE CASE</t>
  </si>
  <si>
    <t>Portfolio Rtn. =</t>
  </si>
  <si>
    <t>Portfolio Risk =</t>
  </si>
  <si>
    <t>RISK MINIMISATION CASE</t>
  </si>
  <si>
    <t>Wa</t>
  </si>
  <si>
    <t>Wb</t>
  </si>
  <si>
    <t>Risk</t>
  </si>
  <si>
    <t>PORTFOLIO OPTIMISATION CASE</t>
  </si>
  <si>
    <t>SR =</t>
  </si>
  <si>
    <t>SR</t>
  </si>
  <si>
    <t>SR=</t>
  </si>
  <si>
    <t>Ramco cements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</si>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</sst>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.00000_);_(* \(#,##0.00000\);_(* &quot;-&quot;??_);_(@_)"/>
    <numFmt numFmtId="166" formatCode="_(* #,##0.000_);_(* \(#,##0.000\);_(* &quot;-&quot;??_);_(@_)"/>
    <numFmt numFmtId="167" formatCode="0.0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Trebuchet MS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6">
    <xf numFmtId="0" fontId="0" fillId="0" borderId="0" xfId="0"/>
    <xf numFmtId="10" fontId="0" fillId="0" borderId="0" xfId="2" applyNumberFormat="1" applyFont="1"/>
    <xf numFmtId="10" fontId="0" fillId="0" borderId="0" xfId="0" applyNumberFormat="1"/>
    <xf numFmtId="0" fontId="4" fillId="0" borderId="0" xfId="0" applyFont="1"/>
    <xf numFmtId="0" fontId="3" fillId="2" borderId="0" xfId="3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0" xfId="2" applyNumberFormat="1" applyFont="1"/>
    <xf numFmtId="0" fontId="5" fillId="0" borderId="0" xfId="0" applyFont="1"/>
    <xf numFmtId="10" fontId="5" fillId="0" borderId="0" xfId="0" applyNumberFormat="1" applyFont="1"/>
    <xf numFmtId="10" fontId="5" fillId="0" borderId="0" xfId="2" applyNumberFormat="1" applyFont="1"/>
    <xf numFmtId="0" fontId="2" fillId="0" borderId="0" xfId="0" applyFont="1"/>
    <xf numFmtId="0" fontId="0" fillId="4" borderId="0" xfId="0" applyFill="1"/>
    <xf numFmtId="164" fontId="2" fillId="0" borderId="13" xfId="1" applyFont="1" applyBorder="1"/>
    <xf numFmtId="166" fontId="0" fillId="0" borderId="0" xfId="1" applyNumberFormat="1" applyFont="1"/>
    <xf numFmtId="166" fontId="3" fillId="2" borderId="0" xfId="3" applyNumberFormat="1"/>
    <xf numFmtId="166" fontId="0" fillId="4" borderId="0" xfId="1" applyNumberFormat="1" applyFont="1" applyFill="1"/>
    <xf numFmtId="165" fontId="0" fillId="0" borderId="0" xfId="1" applyNumberFormat="1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6" fontId="4" fillId="0" borderId="4" xfId="1" applyNumberFormat="1" applyFont="1" applyBorder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166" fontId="4" fillId="0" borderId="6" xfId="1" applyNumberFormat="1" applyFont="1" applyBorder="1" applyAlignment="1">
      <alignment horizontal="center"/>
    </xf>
    <xf numFmtId="166" fontId="4" fillId="0" borderId="7" xfId="1" applyNumberFormat="1" applyFont="1" applyBorder="1" applyAlignment="1">
      <alignment horizontal="center"/>
    </xf>
    <xf numFmtId="166" fontId="4" fillId="0" borderId="4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166" fontId="4" fillId="0" borderId="6" xfId="1" applyNumberFormat="1" applyFont="1" applyFill="1" applyBorder="1" applyAlignment="1">
      <alignment horizontal="center"/>
    </xf>
    <xf numFmtId="166" fontId="4" fillId="0" borderId="7" xfId="1" applyNumberFormat="1" applyFont="1" applyFill="1" applyBorder="1" applyAlignment="1">
      <alignment horizontal="center"/>
    </xf>
    <xf numFmtId="165" fontId="4" fillId="0" borderId="8" xfId="1" applyNumberFormat="1" applyFont="1" applyFill="1" applyBorder="1" applyAlignment="1">
      <alignment horizontal="center"/>
    </xf>
    <xf numFmtId="4" fontId="8" fillId="0" borderId="12" xfId="0" applyNumberFormat="1" applyFont="1" applyBorder="1"/>
    <xf numFmtId="0" fontId="8" fillId="0" borderId="12" xfId="0" applyFont="1" applyBorder="1"/>
    <xf numFmtId="4" fontId="8" fillId="0" borderId="0" xfId="0" applyNumberFormat="1" applyFont="1"/>
    <xf numFmtId="10" fontId="4" fillId="0" borderId="5" xfId="2" applyNumberFormat="1" applyFont="1" applyBorder="1" applyAlignment="1">
      <alignment horizontal="center"/>
    </xf>
    <xf numFmtId="10" fontId="4" fillId="0" borderId="8" xfId="2" applyNumberFormat="1" applyFont="1" applyBorder="1" applyAlignment="1">
      <alignment horizontal="center"/>
    </xf>
    <xf numFmtId="166" fontId="4" fillId="5" borderId="4" xfId="1" applyNumberFormat="1" applyFont="1" applyFill="1" applyBorder="1" applyAlignment="1">
      <alignment horizontal="center"/>
    </xf>
    <xf numFmtId="166" fontId="4" fillId="5" borderId="0" xfId="1" applyNumberFormat="1" applyFont="1" applyFill="1" applyBorder="1" applyAlignment="1">
      <alignment horizontal="center"/>
    </xf>
    <xf numFmtId="10" fontId="4" fillId="5" borderId="5" xfId="2" applyNumberFormat="1" applyFont="1" applyFill="1" applyBorder="1" applyAlignment="1">
      <alignment horizontal="center"/>
    </xf>
    <xf numFmtId="167" fontId="0" fillId="0" borderId="0" xfId="0" applyNumberFormat="1"/>
    <xf numFmtId="10" fontId="0" fillId="0" borderId="0" xfId="2" applyNumberFormat="1" applyFont="1" applyAlignment="1">
      <alignment horizontal="center"/>
    </xf>
    <xf numFmtId="0" fontId="0" fillId="0" borderId="12" xfId="0" applyBorder="1"/>
    <xf numFmtId="0" fontId="2" fillId="0" borderId="12" xfId="0" applyFont="1" applyBorder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0" xfId="0" applyFont="1"/>
    <xf numFmtId="166" fontId="4" fillId="6" borderId="4" xfId="1" applyNumberFormat="1" applyFont="1" applyFill="1" applyBorder="1" applyAlignment="1">
      <alignment horizontal="center"/>
    </xf>
    <xf numFmtId="166" fontId="4" fillId="6" borderId="0" xfId="1" applyNumberFormat="1" applyFont="1" applyFill="1" applyBorder="1" applyAlignment="1">
      <alignment horizontal="center"/>
    </xf>
    <xf numFmtId="10" fontId="4" fillId="6" borderId="5" xfId="2" applyNumberFormat="1" applyFont="1" applyFill="1" applyBorder="1" applyAlignment="1">
      <alignment horizontal="center"/>
    </xf>
    <xf numFmtId="165" fontId="4" fillId="5" borderId="5" xfId="1" applyNumberFormat="1" applyFont="1" applyFill="1" applyBorder="1" applyAlignment="1">
      <alignment horizontal="center"/>
    </xf>
    <xf numFmtId="166" fontId="9" fillId="6" borderId="4" xfId="4" applyNumberFormat="1" applyFont="1" applyFill="1" applyBorder="1" applyAlignment="1">
      <alignment horizontal="center"/>
    </xf>
    <xf numFmtId="166" fontId="9" fillId="6" borderId="0" xfId="4" applyNumberFormat="1" applyFont="1" applyFill="1" applyBorder="1" applyAlignment="1">
      <alignment horizontal="center"/>
    </xf>
    <xf numFmtId="165" fontId="9" fillId="6" borderId="5" xfId="4" applyNumberFormat="1" applyFont="1" applyFill="1" applyBorder="1" applyAlignment="1">
      <alignment horizontal="center"/>
    </xf>
  </cellXfs>
  <cellStyles count="8">
    <cellStyle name="Accent2" xfId="3" builtinId="33"/>
    <cellStyle name="Accent6" xfId="4" builtinId="49"/>
    <cellStyle name="Comma" xfId="1" builtinId="3"/>
    <cellStyle name="Comma 2" xfId="7" xr:uid="{BA960D4E-5D68-6F43-9E7B-232624D73C3C}"/>
    <cellStyle name="Currency 2" xfId="6" xr:uid="{762B24F9-A930-3F4F-AF34-26E6C1EB0C6C}"/>
    <cellStyle name="Normal" xfId="0" builtinId="0"/>
    <cellStyle name="Normal 2" xfId="5" xr:uid="{90659C8C-3CD4-E940-89E3-89B81E05DF6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image" Target="../media/image3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611630</xdr:colOff>
      <xdr:row>19</xdr:row>
      <xdr:rowOff>65734</xdr:rowOff>
    </xdr:from>
    <xdr:to>
      <xdr:col>2</xdr:col>
      <xdr:colOff>621710</xdr:colOff>
      <xdr:row>19</xdr:row>
      <xdr:rowOff>71134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E7B469D-D48E-B546-9F4F-7E1A3D42B460}"/>
                </a:ext>
              </a:extLst>
            </xdr14:cNvPr>
            <xdr14:cNvContentPartPr/>
          </xdr14:nvContentPartPr>
          <xdr14:nvPr macro=""/>
          <xdr14:xfrm>
            <a:off x="1835280" y="3464143"/>
            <a:ext cx="10080" cy="5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CFE7191-404B-475A-BC6D-389ACB392DA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26640" y="3455503"/>
              <a:ext cx="2772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824330e7b641d4f/Desktop/KJ%20Somaiya/PGDM%20(Finance)_Handouts_I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24330e7b641d4f/Desktop/NMIMS%20Vile%20Parle/MPSTME/PG_BTech%5e0MBATech_SemV-VIII_Jul22-Nov22/Handouts_BDM_Excel.xlsx" TargetMode="External"/><Relationship Id="rId1" Type="http://schemas.openxmlformats.org/officeDocument/2006/relationships/externalLinkPath" Target="https://d.docs.live.net/c824330e7b641d4f/Desktop/NMIMS%20Vile%20Parle/MPSTME/PG_BTech%5e0MBATech_SemV-VIII_Jul22-Nov22/Handouts_BDM_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824330e7b641d4f/Desktop/Workshops/Excel%20WS_23rd%20May_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24330e7b641d4f/Desktop/NMIMS%20Vile%20Parle/MPSTME/B%20Tech%20MBA%20Tech/Dec%2022%20to%20Apr%2023/Handouts_BDM_Spreadsheets_VileParle_Campus.xlsx" TargetMode="External"/><Relationship Id="rId1" Type="http://schemas.openxmlformats.org/officeDocument/2006/relationships/externalLinkPath" Target="https://d.docs.live.net/c824330e7b641d4f/Desktop/NMIMS%20Vile%20Parle/MPSTME/B%20Tech%20MBA%20Tech/Dec%2022%20to%20Apr%2023/Handouts_BDM_Spreadsheets_VileParle_Campu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TEEKAY%20USB/Laptop%20Back%20Up%208th%20Oct%2023/NMIMS%20Vile%20Parle/MPSTME/B%20Tech%20MBA%20Tech/Jul%2023%20to%20Nov%2023/BDM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TEEKAY%20USB/Laptop%20Back%20Up%208th%20Oct%2023/GLIM/BFM%20PGDM/PGDM%20BFM%20Hando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E"/>
      <sheetName val="Bonds"/>
      <sheetName val="Multi Growth Models"/>
      <sheetName val="IB_Business Model"/>
      <sheetName val="Mutual Funds"/>
      <sheetName val="Entry Load"/>
      <sheetName val="Exit Load"/>
      <sheetName val="OPQ"/>
      <sheetName val="Pvt Equity"/>
      <sheetName val="Single Round"/>
      <sheetName val="Dual Rounds"/>
      <sheetName val="FCFF Based Valuation"/>
      <sheetName val="Model"/>
      <sheetName val="Comparables"/>
      <sheetName val="Bid Eval"/>
      <sheetName val="Basis"/>
      <sheetName val="Economic Measures"/>
      <sheetName val="Basic Capital Budgeting_NOPAT"/>
      <sheetName val="Sheet1"/>
      <sheetName val="Using_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P8">
            <v>1</v>
          </cell>
          <cell r="R8">
            <v>0.2</v>
          </cell>
          <cell r="T8">
            <v>0.3</v>
          </cell>
        </row>
        <row r="9">
          <cell r="R9">
            <v>0.4</v>
          </cell>
          <cell r="T9">
            <v>0.4</v>
          </cell>
        </row>
        <row r="10">
          <cell r="R10">
            <v>0.6</v>
          </cell>
          <cell r="T10">
            <v>0.5</v>
          </cell>
        </row>
        <row r="11">
          <cell r="R11">
            <v>0.8</v>
          </cell>
          <cell r="T11">
            <v>0.6</v>
          </cell>
        </row>
        <row r="12">
          <cell r="R12">
            <v>1</v>
          </cell>
          <cell r="T12">
            <v>0.7</v>
          </cell>
        </row>
        <row r="13">
          <cell r="R13">
            <v>1.25</v>
          </cell>
          <cell r="T13">
            <v>0.75</v>
          </cell>
        </row>
        <row r="14">
          <cell r="R14">
            <v>1.5</v>
          </cell>
          <cell r="T14">
            <v>0.8</v>
          </cell>
        </row>
        <row r="15">
          <cell r="R15">
            <v>1.6</v>
          </cell>
        </row>
        <row r="16">
          <cell r="R16">
            <v>1.8</v>
          </cell>
        </row>
        <row r="17">
          <cell r="R17">
            <v>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roject Feasibility"/>
      <sheetName val="PV FV TABLE"/>
      <sheetName val="Practice"/>
      <sheetName val="Annuities"/>
      <sheetName val="Loan Amortisation"/>
      <sheetName val="IF AND FUNCTION"/>
      <sheetName val="V LOOK UP"/>
      <sheetName val="H LOOK UP"/>
      <sheetName val="Index Match"/>
      <sheetName val="Index Match Case"/>
      <sheetName val="Model"/>
      <sheetName val="Data Sheet"/>
      <sheetName val="Univariate Regression"/>
      <sheetName val="MultiVariate_Regression Results"/>
      <sheetName val="MultiVariate Regression"/>
      <sheetName val="Regression_Demand"/>
      <sheetName val="Demand Forecasting"/>
      <sheetName val="Statistical"/>
      <sheetName val="Portfolio Management"/>
      <sheetName val="Risk Minimisation"/>
      <sheetName val="VaR"/>
      <sheetName val="Norm Dist Curve"/>
      <sheetName val="Multi Asset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N5" t="str">
            <v>Mercury</v>
          </cell>
        </row>
        <row r="6">
          <cell r="N6" t="str">
            <v>Venus</v>
          </cell>
        </row>
        <row r="7">
          <cell r="N7" t="str">
            <v xml:space="preserve">Earth </v>
          </cell>
        </row>
        <row r="8">
          <cell r="N8" t="str">
            <v>Mars</v>
          </cell>
        </row>
        <row r="9">
          <cell r="N9" t="str">
            <v>Jupiter</v>
          </cell>
        </row>
        <row r="10">
          <cell r="N10" t="str">
            <v>Saturn</v>
          </cell>
        </row>
        <row r="11">
          <cell r="N11" t="str">
            <v>Uranus</v>
          </cell>
        </row>
        <row r="12">
          <cell r="N12" t="str">
            <v>Neptune</v>
          </cell>
        </row>
        <row r="13">
          <cell r="N13" t="str">
            <v>Pluto</v>
          </cell>
        </row>
      </sheetData>
      <sheetData sheetId="10" refreshError="1"/>
      <sheetData sheetId="11" refreshError="1"/>
      <sheetData sheetId="12">
        <row r="3">
          <cell r="B3">
            <v>1</v>
          </cell>
          <cell r="D3">
            <v>0.01</v>
          </cell>
          <cell r="F3">
            <v>0.01</v>
          </cell>
        </row>
        <row r="4">
          <cell r="B4">
            <v>2</v>
          </cell>
          <cell r="D4">
            <v>0.02</v>
          </cell>
          <cell r="F4">
            <v>0.02</v>
          </cell>
        </row>
        <row r="5">
          <cell r="B5">
            <v>3</v>
          </cell>
          <cell r="D5">
            <v>0.03</v>
          </cell>
          <cell r="F5">
            <v>0.03</v>
          </cell>
        </row>
        <row r="6">
          <cell r="B6">
            <v>4</v>
          </cell>
          <cell r="D6">
            <v>0.04</v>
          </cell>
          <cell r="F6">
            <v>0.04</v>
          </cell>
        </row>
        <row r="7">
          <cell r="B7">
            <v>5</v>
          </cell>
          <cell r="D7">
            <v>0.05</v>
          </cell>
          <cell r="F7">
            <v>0.05</v>
          </cell>
        </row>
        <row r="8">
          <cell r="D8">
            <v>0.06</v>
          </cell>
          <cell r="F8">
            <v>0.06</v>
          </cell>
        </row>
        <row r="9">
          <cell r="D9">
            <v>7.0000000000000007E-2</v>
          </cell>
          <cell r="F9">
            <v>7.0000000000000007E-2</v>
          </cell>
        </row>
        <row r="10">
          <cell r="D10">
            <v>0.08</v>
          </cell>
          <cell r="F10">
            <v>0.08</v>
          </cell>
        </row>
        <row r="11">
          <cell r="D11">
            <v>0.09</v>
          </cell>
          <cell r="F11">
            <v>0.09</v>
          </cell>
        </row>
        <row r="12">
          <cell r="D12">
            <v>0.1</v>
          </cell>
          <cell r="F12">
            <v>0.1</v>
          </cell>
        </row>
        <row r="13">
          <cell r="F13">
            <v>0.11</v>
          </cell>
        </row>
        <row r="14">
          <cell r="F14">
            <v>0.12</v>
          </cell>
        </row>
        <row r="15">
          <cell r="F15">
            <v>0.13</v>
          </cell>
        </row>
        <row r="16">
          <cell r="F16">
            <v>0.14000000000000001</v>
          </cell>
        </row>
        <row r="17">
          <cell r="F17">
            <v>0.15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M"/>
      <sheetName val="Replacement Projects"/>
      <sheetName val="Cost of Equity_CAPM"/>
      <sheetName val="DCF-FCFF Valn_Problem Statement"/>
      <sheetName val="Scenario Summary"/>
      <sheetName val="Model"/>
      <sheetName val="Data Sheet"/>
      <sheetName val="Tax Liabilitie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D/E</v>
          </cell>
          <cell r="H4" t="str">
            <v>FP</v>
          </cell>
        </row>
        <row r="5">
          <cell r="D5">
            <v>0.25</v>
          </cell>
          <cell r="H5">
            <v>1</v>
          </cell>
        </row>
        <row r="6">
          <cell r="D6">
            <v>0.5</v>
          </cell>
          <cell r="H6">
            <v>2</v>
          </cell>
        </row>
        <row r="7">
          <cell r="D7">
            <v>0.75</v>
          </cell>
          <cell r="H7">
            <v>3</v>
          </cell>
        </row>
        <row r="8">
          <cell r="D8">
            <v>1</v>
          </cell>
          <cell r="H8">
            <v>4</v>
          </cell>
        </row>
        <row r="9">
          <cell r="D9">
            <v>1.25</v>
          </cell>
          <cell r="H9">
            <v>5</v>
          </cell>
        </row>
        <row r="10">
          <cell r="D10">
            <v>1.5</v>
          </cell>
          <cell r="H10">
            <v>6</v>
          </cell>
        </row>
        <row r="11">
          <cell r="D11">
            <v>1.75</v>
          </cell>
          <cell r="H11">
            <v>7</v>
          </cell>
        </row>
        <row r="12">
          <cell r="D12">
            <v>2</v>
          </cell>
          <cell r="H12">
            <v>8</v>
          </cell>
        </row>
        <row r="13">
          <cell r="D13">
            <v>2.25</v>
          </cell>
          <cell r="H13">
            <v>9</v>
          </cell>
        </row>
        <row r="14">
          <cell r="D14">
            <v>2.5</v>
          </cell>
          <cell r="H14">
            <v>10</v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TVM"/>
      <sheetName val="Annuities"/>
      <sheetName val="Loan Amortisation"/>
      <sheetName val="Project Feasibility"/>
      <sheetName val="Scenario Summary"/>
      <sheetName val="Scenario Summary 2"/>
      <sheetName val="Practice Qs"/>
      <sheetName val="V LOOK UP"/>
      <sheetName val="H LOOK UP"/>
      <sheetName val="Index Match"/>
      <sheetName val="M1"/>
      <sheetName val="Bonds"/>
      <sheetName val="UV Regression Results"/>
      <sheetName val="Univariate Regression"/>
      <sheetName val="Multivariate Regression Results"/>
      <sheetName val="Regression Plots"/>
      <sheetName val="MultiVariate Regression"/>
      <sheetName val="t-test"/>
      <sheetName val="ANOVA-Single Factor"/>
      <sheetName val="Functions"/>
      <sheetName val="Pivot Table Results"/>
      <sheetName val="Pivot Tables Data Sheet"/>
      <sheetName val="Pivot Practice"/>
      <sheetName val="M2"/>
      <sheetName val="Solver_Minimisation"/>
      <sheetName val="Solver_Maximisation"/>
      <sheetName val="IF AND"/>
      <sheetName val="VaR_MMULT"/>
      <sheetName val="2-way data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2">
          <cell r="O22" t="str">
            <v>Mercury</v>
          </cell>
        </row>
        <row r="23">
          <cell r="O23" t="str">
            <v>Venus</v>
          </cell>
        </row>
        <row r="24">
          <cell r="O24" t="str">
            <v xml:space="preserve">Earth </v>
          </cell>
        </row>
        <row r="25">
          <cell r="O25" t="str">
            <v>Mars</v>
          </cell>
        </row>
        <row r="26">
          <cell r="O26" t="str">
            <v>Jupiter</v>
          </cell>
        </row>
        <row r="27">
          <cell r="O27" t="str">
            <v>Saturn</v>
          </cell>
        </row>
        <row r="28">
          <cell r="O28" t="str">
            <v>Uranus</v>
          </cell>
        </row>
        <row r="29">
          <cell r="O29" t="str">
            <v>Neptune</v>
          </cell>
        </row>
        <row r="30">
          <cell r="O30" t="str">
            <v>Pluto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Match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Match"/>
    </sheetNames>
    <sheetDataSet>
      <sheetData sheetId="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12:26:47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28 1 7378,'0'0'5185,"-27"14"-13683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434F-1EF4-1A4D-8C50-DB404228C823}">
  <dimension ref="C3:O98"/>
  <sheetViews>
    <sheetView tabSelected="1" topLeftCell="A76" zoomScale="93" zoomScaleNormal="66" workbookViewId="0">
      <selection activeCell="Q87" sqref="Q87"/>
    </sheetView>
  </sheetViews>
  <sheetFormatPr defaultColWidth="11.19921875" defaultRowHeight="15.6" x14ac:dyDescent="0.3"/>
  <cols>
    <col min="1" max="1" width="3.796875" customWidth="1"/>
    <col min="2" max="2" width="2.69921875" customWidth="1"/>
    <col min="6" max="6" width="14.09765625" bestFit="1" customWidth="1"/>
    <col min="7" max="7" width="7" bestFit="1" customWidth="1"/>
    <col min="8" max="8" width="14.5" bestFit="1" customWidth="1"/>
    <col min="11" max="11" width="7" bestFit="1" customWidth="1"/>
  </cols>
  <sheetData>
    <row r="3" spans="3:15" x14ac:dyDescent="0.3">
      <c r="C3" s="5"/>
      <c r="D3" s="5"/>
      <c r="E3" s="6"/>
      <c r="F3" s="6"/>
      <c r="G3" s="5"/>
      <c r="H3" s="5"/>
      <c r="I3" s="5"/>
      <c r="J3" s="5"/>
      <c r="K3" s="5"/>
      <c r="L3" s="5"/>
      <c r="M3" s="5"/>
      <c r="N3" s="5"/>
      <c r="O3" s="5"/>
    </row>
    <row r="4" spans="3:15" x14ac:dyDescent="0.3">
      <c r="C4" s="5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</row>
    <row r="5" spans="3:15" x14ac:dyDescent="0.3">
      <c r="C5" s="7"/>
      <c r="D5" s="8"/>
      <c r="E5" s="8"/>
      <c r="F5" s="8"/>
      <c r="G5" s="7"/>
      <c r="H5" s="7"/>
      <c r="I5" s="7"/>
      <c r="J5" s="7"/>
      <c r="K5" s="7"/>
      <c r="L5" s="7"/>
      <c r="M5" s="7"/>
      <c r="N5" s="7"/>
      <c r="O5" s="7"/>
    </row>
    <row r="6" spans="3:15" x14ac:dyDescent="0.3">
      <c r="C6" s="7"/>
      <c r="D6" s="8"/>
      <c r="E6" s="8"/>
      <c r="F6" s="8"/>
      <c r="G6" s="7"/>
      <c r="H6" s="7"/>
      <c r="I6" s="7"/>
      <c r="J6" s="7"/>
      <c r="K6" s="7"/>
      <c r="L6" s="7"/>
      <c r="M6" s="7"/>
      <c r="N6" s="7"/>
      <c r="O6" s="7"/>
    </row>
    <row r="7" spans="3:15" x14ac:dyDescent="0.3">
      <c r="C7" s="7"/>
      <c r="D7" s="8"/>
      <c r="E7" s="8"/>
      <c r="F7" s="8"/>
      <c r="G7" s="7"/>
      <c r="H7" s="7"/>
      <c r="I7" s="7"/>
      <c r="J7" s="7"/>
      <c r="K7" s="7"/>
      <c r="L7" s="7"/>
      <c r="M7" s="7"/>
      <c r="N7" s="7"/>
      <c r="O7" s="7"/>
    </row>
    <row r="8" spans="3:15" x14ac:dyDescent="0.3">
      <c r="C8" s="7"/>
      <c r="D8" s="8"/>
      <c r="E8" s="8"/>
      <c r="F8" s="8"/>
      <c r="G8" s="7"/>
      <c r="H8" s="7"/>
      <c r="I8" s="7"/>
      <c r="J8" s="7"/>
      <c r="K8" s="7"/>
      <c r="L8" s="7"/>
      <c r="M8" s="7"/>
      <c r="N8" s="7"/>
      <c r="O8" s="7"/>
    </row>
    <row r="9" spans="3:15" x14ac:dyDescent="0.3">
      <c r="C9" s="7"/>
      <c r="D9" s="8"/>
      <c r="E9" s="8"/>
      <c r="F9" s="8"/>
      <c r="G9" s="7"/>
      <c r="H9" s="7"/>
      <c r="I9" s="7"/>
      <c r="J9" s="7"/>
      <c r="K9" s="7"/>
      <c r="L9" s="7"/>
      <c r="M9" s="7"/>
      <c r="N9" s="7"/>
      <c r="O9" s="7"/>
    </row>
    <row r="10" spans="3:15" x14ac:dyDescent="0.3">
      <c r="C10" s="7"/>
      <c r="D10" s="8"/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</row>
    <row r="11" spans="3:15" x14ac:dyDescent="0.3">
      <c r="C11" s="7"/>
      <c r="D11" s="8"/>
      <c r="E11" s="8"/>
      <c r="F11" s="8"/>
      <c r="G11" s="7"/>
      <c r="H11" s="7"/>
      <c r="I11" s="7"/>
      <c r="J11" s="7"/>
      <c r="K11" s="7"/>
      <c r="L11" s="7"/>
      <c r="M11" s="7"/>
      <c r="N11" s="7"/>
      <c r="O11" s="7"/>
    </row>
    <row r="12" spans="3:15" x14ac:dyDescent="0.3">
      <c r="C12" s="7"/>
      <c r="D12" s="8"/>
      <c r="E12" s="8"/>
      <c r="F12" s="8"/>
      <c r="G12" s="7"/>
      <c r="H12" s="7"/>
      <c r="I12" s="7"/>
      <c r="J12" s="7"/>
      <c r="K12" s="7"/>
      <c r="L12" s="7"/>
      <c r="M12" s="7"/>
      <c r="N12" s="7"/>
      <c r="O12" s="7"/>
    </row>
    <row r="13" spans="3:15" x14ac:dyDescent="0.3">
      <c r="C13" s="7"/>
      <c r="D13" s="8"/>
      <c r="E13" s="8"/>
      <c r="F13" s="8"/>
      <c r="G13" s="7"/>
      <c r="H13" s="7"/>
      <c r="I13" s="7"/>
      <c r="J13" s="7"/>
      <c r="K13" s="7"/>
      <c r="L13" s="7"/>
      <c r="M13" s="7"/>
      <c r="N13" s="7"/>
      <c r="O13" s="7"/>
    </row>
    <row r="14" spans="3:15" x14ac:dyDescent="0.3">
      <c r="C14" s="7"/>
      <c r="D14" s="8"/>
      <c r="E14" s="8"/>
      <c r="F14" s="8"/>
      <c r="G14" s="7"/>
      <c r="H14" s="7"/>
      <c r="I14" s="7"/>
      <c r="J14" s="7"/>
      <c r="K14" s="7"/>
      <c r="L14" s="7"/>
      <c r="M14" s="7"/>
      <c r="N14" s="7"/>
      <c r="O14" s="7"/>
    </row>
    <row r="15" spans="3:15" x14ac:dyDescent="0.3">
      <c r="C15" s="7"/>
      <c r="D15" s="8"/>
      <c r="E15" s="8"/>
      <c r="F15" s="8"/>
      <c r="G15" s="7"/>
      <c r="H15" s="7"/>
      <c r="I15" s="7"/>
      <c r="J15" s="7"/>
      <c r="K15" s="7"/>
      <c r="L15" s="7"/>
      <c r="M15" s="7"/>
      <c r="N15" s="7"/>
      <c r="O15" s="7"/>
    </row>
    <row r="16" spans="3:15" x14ac:dyDescent="0.3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3:15" x14ac:dyDescent="0.3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3:15" x14ac:dyDescent="0.3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3:15" x14ac:dyDescent="0.3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3:15" x14ac:dyDescent="0.3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x14ac:dyDescent="0.3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x14ac:dyDescent="0.3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x14ac:dyDescent="0.3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8" spans="3:15" x14ac:dyDescent="0.3">
      <c r="H28" s="13"/>
    </row>
    <row r="29" spans="3:15" x14ac:dyDescent="0.3">
      <c r="D29" s="5"/>
      <c r="E29" s="6" t="s">
        <v>21</v>
      </c>
      <c r="F29" s="44" t="s">
        <v>20</v>
      </c>
      <c r="G29" s="5"/>
    </row>
    <row r="30" spans="3:15" x14ac:dyDescent="0.3">
      <c r="D30" s="6" t="s">
        <v>1</v>
      </c>
      <c r="E30" s="6" t="s">
        <v>3</v>
      </c>
      <c r="F30" s="6" t="s">
        <v>3</v>
      </c>
      <c r="G30" s="6" t="s">
        <v>21</v>
      </c>
      <c r="H30" s="44" t="s">
        <v>20</v>
      </c>
    </row>
    <row r="31" spans="3:15" x14ac:dyDescent="0.3">
      <c r="D31" s="43">
        <v>2014</v>
      </c>
      <c r="E31" s="48">
        <v>57.08</v>
      </c>
      <c r="F31" s="34">
        <v>330.48</v>
      </c>
      <c r="G31" s="6" t="s">
        <v>2</v>
      </c>
      <c r="H31" s="6" t="s">
        <v>2</v>
      </c>
    </row>
    <row r="32" spans="3:15" x14ac:dyDescent="0.3">
      <c r="D32" s="43">
        <v>2015</v>
      </c>
      <c r="E32" s="48">
        <v>91.16</v>
      </c>
      <c r="F32" s="34">
        <v>374.34</v>
      </c>
      <c r="G32" s="9">
        <f>(E32-E31)/E31</f>
        <v>0.59705676243868255</v>
      </c>
      <c r="H32" s="9">
        <f>(F32-F31)/F31</f>
        <v>0.13271604938271592</v>
      </c>
    </row>
    <row r="33" spans="4:11" x14ac:dyDescent="0.3">
      <c r="D33" s="43">
        <v>2016</v>
      </c>
      <c r="E33" s="48">
        <v>57.13</v>
      </c>
      <c r="F33" s="34">
        <v>531.17999999999995</v>
      </c>
      <c r="G33" s="9">
        <f t="shared" ref="G33:G42" si="0">(E33-E32)/E32</f>
        <v>-0.37329969284774017</v>
      </c>
      <c r="H33" s="9">
        <f t="shared" ref="H33:H42" si="1">(F33-F32)/F32</f>
        <v>0.41897740022439489</v>
      </c>
    </row>
    <row r="34" spans="4:11" x14ac:dyDescent="0.3">
      <c r="D34" s="43">
        <v>2017</v>
      </c>
      <c r="E34" s="48">
        <v>92.38</v>
      </c>
      <c r="F34" s="34">
        <v>764.91</v>
      </c>
      <c r="G34" s="9">
        <f t="shared" si="0"/>
        <v>0.61701382811132488</v>
      </c>
      <c r="H34" s="9">
        <f t="shared" si="1"/>
        <v>0.44002033209081676</v>
      </c>
    </row>
    <row r="35" spans="4:11" x14ac:dyDescent="0.3">
      <c r="D35" s="43">
        <v>2018</v>
      </c>
      <c r="E35" s="48">
        <v>47.02</v>
      </c>
      <c r="F35" s="34">
        <v>625.75</v>
      </c>
      <c r="G35" s="9">
        <f t="shared" si="0"/>
        <v>-0.49101537129248751</v>
      </c>
      <c r="H35" s="9">
        <f t="shared" si="1"/>
        <v>-0.18192990024970254</v>
      </c>
    </row>
    <row r="36" spans="4:11" x14ac:dyDescent="0.3">
      <c r="D36" s="43">
        <v>2019</v>
      </c>
      <c r="E36" s="48">
        <v>60.54</v>
      </c>
      <c r="F36" s="34">
        <v>740.94</v>
      </c>
      <c r="G36" s="9">
        <f t="shared" si="0"/>
        <v>0.28753721820501904</v>
      </c>
      <c r="H36" s="9">
        <f t="shared" si="1"/>
        <v>0.18408310027966449</v>
      </c>
    </row>
    <row r="37" spans="4:11" x14ac:dyDescent="0.3">
      <c r="D37" s="43">
        <v>2020</v>
      </c>
      <c r="E37" s="48">
        <v>87.43</v>
      </c>
      <c r="F37" s="34">
        <v>784.67</v>
      </c>
      <c r="G37" s="9">
        <f t="shared" si="0"/>
        <v>0.44416914436736055</v>
      </c>
      <c r="H37" s="9">
        <f t="shared" si="1"/>
        <v>5.9019623721218856E-2</v>
      </c>
    </row>
    <row r="38" spans="4:11" x14ac:dyDescent="0.3">
      <c r="D38" s="43">
        <v>2021</v>
      </c>
      <c r="E38" s="48">
        <v>133.87</v>
      </c>
      <c r="F38" s="34">
        <v>992.44</v>
      </c>
      <c r="G38" s="9">
        <f t="shared" si="0"/>
        <v>0.53116779137595782</v>
      </c>
      <c r="H38" s="9">
        <f t="shared" si="1"/>
        <v>0.26478647074566392</v>
      </c>
    </row>
    <row r="39" spans="4:11" x14ac:dyDescent="0.3">
      <c r="D39" s="43">
        <v>2022</v>
      </c>
      <c r="E39" s="48">
        <v>135.24</v>
      </c>
      <c r="F39" s="34">
        <v>694.89</v>
      </c>
      <c r="G39" s="9">
        <f t="shared" si="0"/>
        <v>1.0233808919100654E-2</v>
      </c>
      <c r="H39" s="9">
        <f t="shared" si="1"/>
        <v>-0.29981661359880701</v>
      </c>
    </row>
    <row r="40" spans="4:11" x14ac:dyDescent="0.3">
      <c r="D40" s="43">
        <v>2023</v>
      </c>
      <c r="E40" s="48">
        <v>162.59</v>
      </c>
      <c r="F40" s="33">
        <v>1017.14</v>
      </c>
      <c r="G40" s="9">
        <f t="shared" si="0"/>
        <v>0.20223306713989939</v>
      </c>
      <c r="H40" s="9">
        <f t="shared" si="1"/>
        <v>0.46374246283584453</v>
      </c>
    </row>
    <row r="41" spans="4:11" x14ac:dyDescent="0.3">
      <c r="D41" s="43">
        <v>2024</v>
      </c>
      <c r="E41" s="48">
        <v>208.92</v>
      </c>
      <c r="F41" s="34">
        <v>965.65</v>
      </c>
      <c r="G41" s="9">
        <f t="shared" si="0"/>
        <v>0.28494987391598486</v>
      </c>
      <c r="H41" s="9">
        <f t="shared" si="1"/>
        <v>-5.0622333208801155E-2</v>
      </c>
    </row>
    <row r="42" spans="4:11" x14ac:dyDescent="0.3">
      <c r="D42" s="43">
        <v>2025</v>
      </c>
      <c r="E42" s="48">
        <v>228.42</v>
      </c>
      <c r="F42" s="35">
        <v>1022.5</v>
      </c>
      <c r="G42" s="9">
        <f t="shared" si="0"/>
        <v>9.3337162550258479E-2</v>
      </c>
      <c r="H42" s="9">
        <f t="shared" si="1"/>
        <v>5.8872262206803735E-2</v>
      </c>
    </row>
    <row r="44" spans="4:11" x14ac:dyDescent="0.3">
      <c r="F44" s="10" t="s">
        <v>4</v>
      </c>
      <c r="G44" s="11">
        <f>AVERAGE(G32:G42)</f>
        <v>0.2003075993530328</v>
      </c>
      <c r="H44" s="11">
        <f>AVERAGE(H32:H42)</f>
        <v>0.13544080494816477</v>
      </c>
    </row>
    <row r="46" spans="4:11" x14ac:dyDescent="0.3">
      <c r="F46" s="10" t="s">
        <v>5</v>
      </c>
      <c r="G46" s="12">
        <f>_xlfn.STDEV.S(G32:G42)</f>
        <v>0.37003937943677606</v>
      </c>
      <c r="H46" s="12">
        <f>_xlfn.STDEV.S(H32:H42)</f>
        <v>0.25229805413679368</v>
      </c>
    </row>
    <row r="47" spans="4:11" ht="16.2" thickBot="1" x14ac:dyDescent="0.35"/>
    <row r="48" spans="4:11" ht="16.2" thickBot="1" x14ac:dyDescent="0.35">
      <c r="E48" s="45" t="s">
        <v>9</v>
      </c>
      <c r="F48" s="46"/>
      <c r="G48" s="46"/>
      <c r="H48" s="46"/>
      <c r="I48" s="46"/>
      <c r="J48" s="46"/>
      <c r="K48" s="47"/>
    </row>
    <row r="50" spans="5:11" s="13" customFormat="1" x14ac:dyDescent="0.3">
      <c r="F50" s="13" t="s">
        <v>6</v>
      </c>
      <c r="G50" s="13" t="s">
        <v>7</v>
      </c>
      <c r="H50" s="13" t="s">
        <v>2</v>
      </c>
      <c r="I50" s="13" t="s">
        <v>8</v>
      </c>
    </row>
    <row r="51" spans="5:11" x14ac:dyDescent="0.3">
      <c r="F51" s="6" t="s">
        <v>21</v>
      </c>
      <c r="G51" s="14">
        <v>0.25</v>
      </c>
      <c r="H51" s="2">
        <f>G44</f>
        <v>0.2003075993530328</v>
      </c>
      <c r="I51" s="2">
        <f>G46</f>
        <v>0.37003937943677606</v>
      </c>
    </row>
    <row r="52" spans="5:11" x14ac:dyDescent="0.3">
      <c r="F52" s="44" t="s">
        <v>20</v>
      </c>
      <c r="G52">
        <f>1-G51</f>
        <v>0.75</v>
      </c>
      <c r="H52" s="2">
        <f>H44</f>
        <v>0.13544080494816477</v>
      </c>
      <c r="I52" s="2">
        <f>H46</f>
        <v>0.25229805413679368</v>
      </c>
    </row>
    <row r="54" spans="5:11" ht="16.2" thickBot="1" x14ac:dyDescent="0.35">
      <c r="G54" s="15">
        <f>SUM(G51:G52)</f>
        <v>1</v>
      </c>
    </row>
    <row r="55" spans="5:11" ht="16.2" thickTop="1" x14ac:dyDescent="0.3"/>
    <row r="56" spans="5:11" x14ac:dyDescent="0.3">
      <c r="I56" s="4" t="s">
        <v>0</v>
      </c>
      <c r="J56" s="17">
        <f>CORREL(G32:G42,H32:H42)</f>
        <v>0.30721143769203985</v>
      </c>
    </row>
    <row r="59" spans="5:11" x14ac:dyDescent="0.3">
      <c r="F59" t="s">
        <v>10</v>
      </c>
      <c r="H59" s="1">
        <f>SUMPRODUCT(G51:G52,H51:H52)</f>
        <v>0.15165750354938176</v>
      </c>
    </row>
    <row r="60" spans="5:11" x14ac:dyDescent="0.3">
      <c r="J60" t="s">
        <v>19</v>
      </c>
      <c r="K60" s="16">
        <f>(H59-3%)/H61</f>
        <v>0.51818850490221879</v>
      </c>
    </row>
    <row r="61" spans="5:11" x14ac:dyDescent="0.3">
      <c r="F61" t="s">
        <v>11</v>
      </c>
      <c r="H61" s="1">
        <f>SQRT(G51^2*I51^2+G52^2*I52^2+2*G51*G52*I51*I52*J56)</f>
        <v>0.2347746088507662</v>
      </c>
    </row>
    <row r="63" spans="5:11" ht="16.2" thickBot="1" x14ac:dyDescent="0.35"/>
    <row r="64" spans="5:11" ht="16.2" thickBot="1" x14ac:dyDescent="0.35">
      <c r="E64" s="45" t="s">
        <v>12</v>
      </c>
      <c r="F64" s="46"/>
      <c r="G64" s="46"/>
      <c r="H64" s="46"/>
      <c r="I64" s="46"/>
      <c r="J64" s="46"/>
      <c r="K64" s="47"/>
    </row>
    <row r="66" spans="5:15" x14ac:dyDescent="0.3">
      <c r="E66" s="13"/>
      <c r="F66" s="13" t="s">
        <v>6</v>
      </c>
      <c r="G66" s="13" t="s">
        <v>7</v>
      </c>
      <c r="H66" s="13" t="s">
        <v>2</v>
      </c>
      <c r="I66" s="13" t="s">
        <v>8</v>
      </c>
      <c r="J66" s="13"/>
      <c r="K66" s="13"/>
    </row>
    <row r="67" spans="5:15" ht="16.2" thickBot="1" x14ac:dyDescent="0.35">
      <c r="F67" s="6" t="s">
        <v>21</v>
      </c>
      <c r="G67" s="18">
        <v>0.24418927813628416</v>
      </c>
      <c r="H67" s="2">
        <f>H51</f>
        <v>0.2003075993530328</v>
      </c>
      <c r="I67" s="2">
        <f>I51</f>
        <v>0.37003937943677606</v>
      </c>
    </row>
    <row r="68" spans="5:15" x14ac:dyDescent="0.3">
      <c r="F68" s="44" t="s">
        <v>20</v>
      </c>
      <c r="G68" s="16">
        <v>0.7558107351665857</v>
      </c>
      <c r="H68" s="2">
        <f>H52</f>
        <v>0.13544080494816477</v>
      </c>
      <c r="I68" s="2">
        <f>I52</f>
        <v>0.25229805413679368</v>
      </c>
      <c r="M68" s="20" t="s">
        <v>13</v>
      </c>
      <c r="N68" s="21" t="s">
        <v>14</v>
      </c>
      <c r="O68" s="22" t="s">
        <v>15</v>
      </c>
    </row>
    <row r="69" spans="5:15" x14ac:dyDescent="0.3">
      <c r="M69" s="23">
        <f>G51</f>
        <v>0.25</v>
      </c>
      <c r="N69" s="24">
        <f>1-M69</f>
        <v>0.75</v>
      </c>
      <c r="O69" s="36">
        <f>H61</f>
        <v>0.2347746088507662</v>
      </c>
    </row>
    <row r="70" spans="5:15" ht="16.2" thickBot="1" x14ac:dyDescent="0.35">
      <c r="G70" s="15">
        <f>SUM(G67:G68)</f>
        <v>1.0000000133028699</v>
      </c>
      <c r="M70" s="23">
        <v>0</v>
      </c>
      <c r="N70" s="24">
        <f t="dataTable" ref="N70:O81" dt2D="0" dtr="0" r1="G51" ca="1"/>
        <v>1</v>
      </c>
      <c r="O70" s="36">
        <v>0.25229805413679368</v>
      </c>
    </row>
    <row r="71" spans="5:15" ht="16.2" thickTop="1" x14ac:dyDescent="0.3">
      <c r="M71" s="41">
        <v>9.2985631319477846E-2</v>
      </c>
      <c r="N71" s="41">
        <v>0.9070143686805221</v>
      </c>
      <c r="O71" s="42">
        <v>0.2416374814130951</v>
      </c>
    </row>
    <row r="72" spans="5:15" x14ac:dyDescent="0.3">
      <c r="I72" s="4" t="s">
        <v>0</v>
      </c>
      <c r="J72" s="17">
        <f>J56</f>
        <v>0.30721143769203985</v>
      </c>
      <c r="M72" s="23">
        <v>0.1</v>
      </c>
      <c r="N72" s="24">
        <v>0.9</v>
      </c>
      <c r="O72" s="36">
        <v>0.24102265387317887</v>
      </c>
    </row>
    <row r="73" spans="5:15" x14ac:dyDescent="0.3">
      <c r="M73" s="23">
        <v>0.2</v>
      </c>
      <c r="N73" s="24">
        <v>0.8</v>
      </c>
      <c r="O73" s="36">
        <v>0.2353591876438092</v>
      </c>
    </row>
    <row r="74" spans="5:15" x14ac:dyDescent="0.3">
      <c r="M74" s="38">
        <v>0.24399999999999999</v>
      </c>
      <c r="N74" s="39">
        <v>0.75600000000000001</v>
      </c>
      <c r="O74" s="40">
        <v>0.23476432075575854</v>
      </c>
    </row>
    <row r="75" spans="5:15" x14ac:dyDescent="0.3">
      <c r="F75" t="s">
        <v>10</v>
      </c>
      <c r="H75" s="1">
        <f>SUMPRODUCT(G67:G68,H67:H68)</f>
        <v>0.15128058245065565</v>
      </c>
      <c r="M75" s="23">
        <v>0.4</v>
      </c>
      <c r="N75" s="24">
        <v>0.6</v>
      </c>
      <c r="O75" s="36">
        <v>0.24205629546285015</v>
      </c>
    </row>
    <row r="76" spans="5:15" x14ac:dyDescent="0.3">
      <c r="M76" s="23">
        <v>0.5</v>
      </c>
      <c r="N76" s="24">
        <v>0.5</v>
      </c>
      <c r="O76" s="36">
        <v>0.25394197291853871</v>
      </c>
    </row>
    <row r="77" spans="5:15" x14ac:dyDescent="0.3">
      <c r="F77" t="s">
        <v>11</v>
      </c>
      <c r="H77" s="1">
        <f>SQRT(G67^2*I67^2+G68^2*I68^2+2*G67*G68*I67*I68*J72)</f>
        <v>0.23476431295170994</v>
      </c>
      <c r="M77" s="49">
        <v>0.6</v>
      </c>
      <c r="N77" s="50">
        <v>0.4</v>
      </c>
      <c r="O77" s="51">
        <v>0.27064038319464995</v>
      </c>
    </row>
    <row r="78" spans="5:15" x14ac:dyDescent="0.3">
      <c r="M78" s="23">
        <v>0.7</v>
      </c>
      <c r="N78" s="24">
        <v>0.30000000000000004</v>
      </c>
      <c r="O78" s="36">
        <v>0.29132511802307742</v>
      </c>
    </row>
    <row r="79" spans="5:15" ht="16.2" thickBot="1" x14ac:dyDescent="0.35">
      <c r="M79" s="23">
        <v>0.8</v>
      </c>
      <c r="N79" s="24">
        <v>0.19999999999999996</v>
      </c>
      <c r="O79" s="36">
        <v>0.31521238512469479</v>
      </c>
    </row>
    <row r="80" spans="5:15" ht="16.2" thickBot="1" x14ac:dyDescent="0.35">
      <c r="E80" s="45" t="s">
        <v>16</v>
      </c>
      <c r="F80" s="46"/>
      <c r="G80" s="46"/>
      <c r="H80" s="46"/>
      <c r="I80" s="46"/>
      <c r="J80" s="46"/>
      <c r="K80" s="47"/>
      <c r="M80" s="23">
        <v>0.9</v>
      </c>
      <c r="N80" s="24">
        <v>9.9999999999999978E-2</v>
      </c>
      <c r="O80" s="36">
        <v>0.34163106862559156</v>
      </c>
    </row>
    <row r="81" spans="5:15" ht="16.2" thickBot="1" x14ac:dyDescent="0.35">
      <c r="M81" s="25">
        <v>1</v>
      </c>
      <c r="N81" s="26">
        <v>0</v>
      </c>
      <c r="O81" s="37">
        <v>0.37003937943677606</v>
      </c>
    </row>
    <row r="82" spans="5:15" x14ac:dyDescent="0.3">
      <c r="E82" s="13"/>
      <c r="F82" s="13" t="s">
        <v>6</v>
      </c>
      <c r="G82" s="13" t="s">
        <v>7</v>
      </c>
      <c r="H82" s="13" t="s">
        <v>2</v>
      </c>
      <c r="I82" s="13" t="s">
        <v>8</v>
      </c>
      <c r="J82" s="13"/>
      <c r="K82" s="13"/>
      <c r="M82" s="3"/>
      <c r="N82" s="3"/>
      <c r="O82" s="3"/>
    </row>
    <row r="83" spans="5:15" ht="16.2" thickBot="1" x14ac:dyDescent="0.35">
      <c r="F83" s="6" t="s">
        <v>21</v>
      </c>
      <c r="G83" s="18">
        <v>0.45001004940550882</v>
      </c>
      <c r="H83" s="2">
        <f>H51</f>
        <v>0.2003075993530328</v>
      </c>
      <c r="I83" s="2">
        <f>I51</f>
        <v>0.37003937943677606</v>
      </c>
      <c r="M83" s="3"/>
      <c r="N83" s="3"/>
      <c r="O83" s="3"/>
    </row>
    <row r="84" spans="5:15" x14ac:dyDescent="0.3">
      <c r="F84" s="44" t="s">
        <v>20</v>
      </c>
      <c r="G84" s="16">
        <v>0.54998992779446032</v>
      </c>
      <c r="H84" s="2">
        <f>H52</f>
        <v>0.13544080494816477</v>
      </c>
      <c r="I84" s="2">
        <f>I52</f>
        <v>0.25229805413679368</v>
      </c>
      <c r="M84" s="20" t="s">
        <v>13</v>
      </c>
      <c r="N84" s="21" t="s">
        <v>14</v>
      </c>
      <c r="O84" s="22" t="s">
        <v>18</v>
      </c>
    </row>
    <row r="85" spans="5:15" x14ac:dyDescent="0.3">
      <c r="M85" s="27">
        <f>G51</f>
        <v>0.25</v>
      </c>
      <c r="N85" s="28">
        <f>1-M85</f>
        <v>0.75</v>
      </c>
      <c r="O85" s="29">
        <f>K60</f>
        <v>0.51818850490221879</v>
      </c>
    </row>
    <row r="86" spans="5:15" ht="16.2" thickBot="1" x14ac:dyDescent="0.35">
      <c r="G86" s="15">
        <f>SUM(G83:G84)</f>
        <v>0.99999997719996914</v>
      </c>
      <c r="M86" s="27">
        <v>0</v>
      </c>
      <c r="N86" s="28">
        <f t="dataTable" ref="N86:O98" dt2D="0" dtr="0" r1="G51"/>
        <v>1</v>
      </c>
      <c r="O86" s="29">
        <v>0.41792159400086271</v>
      </c>
    </row>
    <row r="87" spans="5:15" ht="16.2" thickTop="1" x14ac:dyDescent="0.3">
      <c r="M87" s="27">
        <v>0.1</v>
      </c>
      <c r="N87" s="28">
        <v>0.9</v>
      </c>
      <c r="O87" s="29">
        <v>0.46438574378799058</v>
      </c>
    </row>
    <row r="88" spans="5:15" x14ac:dyDescent="0.3">
      <c r="I88" s="4" t="s">
        <v>0</v>
      </c>
      <c r="J88" s="17">
        <f>J56</f>
        <v>0.30721143769203985</v>
      </c>
      <c r="M88" s="53">
        <v>0.19792442792398537</v>
      </c>
      <c r="N88" s="54">
        <v>0.80207557207601465</v>
      </c>
      <c r="O88" s="55">
        <v>0.50242708874627662</v>
      </c>
    </row>
    <row r="89" spans="5:15" x14ac:dyDescent="0.3">
      <c r="M89" s="27">
        <v>0.2</v>
      </c>
      <c r="N89" s="28">
        <v>0.8</v>
      </c>
      <c r="O89" s="29">
        <v>0.50312105940960961</v>
      </c>
    </row>
    <row r="90" spans="5:15" x14ac:dyDescent="0.3">
      <c r="M90" s="27">
        <v>0.3</v>
      </c>
      <c r="N90" s="28">
        <v>0.7</v>
      </c>
      <c r="O90" s="29">
        <v>0.52988634129100554</v>
      </c>
    </row>
    <row r="91" spans="5:15" x14ac:dyDescent="0.3">
      <c r="F91" t="s">
        <v>10</v>
      </c>
      <c r="H91" s="1">
        <f>SUMPRODUCT(G83:G84,H83:H84)</f>
        <v>0.16463151121502187</v>
      </c>
      <c r="M91" s="27">
        <v>0.4</v>
      </c>
      <c r="N91" s="28">
        <v>0.6</v>
      </c>
      <c r="O91" s="29">
        <v>0.54279737884477708</v>
      </c>
    </row>
    <row r="92" spans="5:15" x14ac:dyDescent="0.3">
      <c r="M92" s="38">
        <v>0.45</v>
      </c>
      <c r="N92" s="39">
        <v>0.55000000000000004</v>
      </c>
      <c r="O92" s="52">
        <v>0.54429823331085314</v>
      </c>
    </row>
    <row r="93" spans="5:15" x14ac:dyDescent="0.3">
      <c r="F93" t="s">
        <v>11</v>
      </c>
      <c r="H93" s="1">
        <f>SQRT(G83^2*I83^2+G84^2*I84^2+2*G83*G84*I83*I84*J88)</f>
        <v>0.2473487945491582</v>
      </c>
      <c r="M93" s="27">
        <v>0.5</v>
      </c>
      <c r="N93" s="28">
        <v>0.5</v>
      </c>
      <c r="O93" s="29">
        <v>0.54293585485699536</v>
      </c>
    </row>
    <row r="94" spans="5:15" x14ac:dyDescent="0.3">
      <c r="M94" s="27">
        <v>0.7</v>
      </c>
      <c r="N94" s="28">
        <v>0.30000000000000004</v>
      </c>
      <c r="O94" s="29">
        <v>0.51779799165694651</v>
      </c>
    </row>
    <row r="95" spans="5:15" x14ac:dyDescent="0.3">
      <c r="F95" t="s">
        <v>17</v>
      </c>
      <c r="H95" s="19">
        <f>(H91-3%)/H93</f>
        <v>0.54429823060352589</v>
      </c>
      <c r="M95" s="27">
        <v>0.8</v>
      </c>
      <c r="N95" s="28">
        <v>0.19999999999999996</v>
      </c>
      <c r="O95" s="29">
        <v>0.49913724173566149</v>
      </c>
    </row>
    <row r="96" spans="5:15" x14ac:dyDescent="0.3">
      <c r="M96" s="27">
        <v>0.9</v>
      </c>
      <c r="N96" s="28">
        <v>9.9999999999999978E-2</v>
      </c>
      <c r="O96" s="29">
        <v>0.47952582466111859</v>
      </c>
    </row>
    <row r="97" spans="13:15" x14ac:dyDescent="0.3">
      <c r="M97" s="27">
        <v>1</v>
      </c>
      <c r="N97" s="28">
        <v>0</v>
      </c>
      <c r="O97" s="29">
        <v>0.46024182510589012</v>
      </c>
    </row>
    <row r="98" spans="13:15" ht="16.2" thickBot="1" x14ac:dyDescent="0.35">
      <c r="M98" s="30">
        <v>1.1000000000000001</v>
      </c>
      <c r="N98" s="31">
        <v>-0.10000000000000009</v>
      </c>
      <c r="O98" s="32">
        <v>0.44197062385055969</v>
      </c>
    </row>
  </sheetData>
  <mergeCells count="3">
    <mergeCell ref="E48:K48"/>
    <mergeCell ref="E64:K64"/>
    <mergeCell ref="E80:K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Mgmt.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Kehair</dc:creator>
  <cp:lastModifiedBy>Praveen Reddy</cp:lastModifiedBy>
  <dcterms:created xsi:type="dcterms:W3CDTF">2025-10-13T10:43:47Z</dcterms:created>
  <dcterms:modified xsi:type="dcterms:W3CDTF">2025-12-04T13:12:10Z</dcterms:modified>
</cp:coreProperties>
</file>