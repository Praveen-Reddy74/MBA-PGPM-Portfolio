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8_{D3782C3F-4A96-EA4C-97A7-EAE4375F596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2" i="1"/>
  <c r="D13" i="1"/>
  <c r="E12" i="1"/>
  <c r="E13" i="1"/>
  <c r="K12" i="1"/>
  <c r="K13" i="1"/>
  <c r="C12" i="1"/>
  <c r="C13" i="1"/>
  <c r="F12" i="1"/>
  <c r="F13" i="1"/>
  <c r="G12" i="1"/>
  <c r="G13" i="1"/>
  <c r="J12" i="1"/>
  <c r="J13" i="1"/>
  <c r="B12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C5" i="2"/>
  <c r="C6" i="2"/>
  <c r="D4" i="2"/>
  <c r="D5" i="2"/>
  <c r="D6" i="2"/>
  <c r="D10" i="1"/>
  <c r="D9" i="1"/>
  <c r="D24" i="2"/>
  <c r="E4" i="2"/>
  <c r="E5" i="2"/>
  <c r="E6" i="2"/>
  <c r="E10" i="1"/>
  <c r="E9" i="1"/>
  <c r="E24" i="2"/>
  <c r="F4" i="2"/>
  <c r="F5" i="2"/>
  <c r="F6" i="2"/>
  <c r="F10" i="1"/>
  <c r="F9" i="1"/>
  <c r="F24" i="2"/>
  <c r="E23" i="2"/>
  <c r="G4" i="2"/>
  <c r="G5" i="2"/>
  <c r="G6" i="2"/>
  <c r="G10" i="1"/>
  <c r="G9" i="1"/>
  <c r="G24" i="2"/>
  <c r="H4" i="2"/>
  <c r="H5" i="2"/>
  <c r="H6" i="2"/>
  <c r="H10" i="1"/>
  <c r="H9" i="1"/>
  <c r="H24" i="2"/>
  <c r="I4" i="2"/>
  <c r="I5" i="2"/>
  <c r="I6" i="2"/>
  <c r="I10" i="1"/>
  <c r="I9" i="1"/>
  <c r="I24" i="2"/>
  <c r="J4" i="2"/>
  <c r="J5" i="2"/>
  <c r="J6" i="2"/>
  <c r="J10" i="1"/>
  <c r="J9" i="1"/>
  <c r="J24" i="2"/>
  <c r="I12" i="1"/>
  <c r="I23" i="2"/>
  <c r="K4" i="2"/>
  <c r="K5" i="2"/>
  <c r="K6" i="2"/>
  <c r="K10" i="1"/>
  <c r="K9" i="1"/>
  <c r="K24" i="2"/>
  <c r="J23" i="2"/>
  <c r="C7" i="2"/>
  <c r="D7" i="2"/>
  <c r="E7" i="2"/>
  <c r="F7" i="2"/>
  <c r="G7" i="2"/>
  <c r="G13" i="2"/>
  <c r="G16" i="2"/>
  <c r="H7" i="2"/>
  <c r="I7" i="2"/>
  <c r="I13" i="2"/>
  <c r="I16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/>
  <c r="F13" i="2"/>
  <c r="H13" i="2"/>
  <c r="J13" i="2"/>
  <c r="J16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B6" i="2"/>
  <c r="C10" i="1"/>
  <c r="C9" i="1"/>
  <c r="C2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/>
  <c r="D4" i="3"/>
  <c r="D14" i="3"/>
  <c r="E4" i="3"/>
  <c r="F4" i="3"/>
  <c r="G4" i="3"/>
  <c r="H4" i="3"/>
  <c r="I4" i="3"/>
  <c r="J4" i="3"/>
  <c r="K4" i="3"/>
  <c r="K1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L7" i="1"/>
  <c r="C8" i="3"/>
  <c r="D8" i="3"/>
  <c r="E8" i="3"/>
  <c r="F8" i="3"/>
  <c r="G8" i="3"/>
  <c r="H8" i="3"/>
  <c r="I8" i="3"/>
  <c r="J8" i="3"/>
  <c r="K8" i="3"/>
  <c r="L8" i="1"/>
  <c r="C9" i="3"/>
  <c r="D9" i="3"/>
  <c r="E9" i="3"/>
  <c r="F9" i="3"/>
  <c r="G9" i="3"/>
  <c r="H9" i="3"/>
  <c r="I9" i="3"/>
  <c r="J9" i="3"/>
  <c r="K9" i="3"/>
  <c r="L9" i="1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11" i="1"/>
  <c r="D11" i="1"/>
  <c r="E11" i="1"/>
  <c r="F11" i="1"/>
  <c r="G11" i="1"/>
  <c r="H11" i="1"/>
  <c r="I11" i="1"/>
  <c r="J11" i="1"/>
  <c r="K11" i="1"/>
  <c r="H12" i="1"/>
  <c r="C15" i="1"/>
  <c r="C14" i="1"/>
  <c r="D15" i="1"/>
  <c r="D14" i="1"/>
  <c r="E15" i="1"/>
  <c r="E14" i="1"/>
  <c r="F15" i="1"/>
  <c r="F14" i="1"/>
  <c r="G15" i="1"/>
  <c r="G14" i="1"/>
  <c r="H15" i="1"/>
  <c r="H13" i="1"/>
  <c r="H14" i="1"/>
  <c r="I15" i="1"/>
  <c r="I13" i="1"/>
  <c r="I14" i="1"/>
  <c r="J15" i="1"/>
  <c r="J14" i="1"/>
  <c r="K15" i="1"/>
  <c r="K14" i="1"/>
  <c r="L12" i="1"/>
  <c r="L13" i="1"/>
  <c r="L15" i="1"/>
  <c r="L14" i="1"/>
  <c r="K25" i="1"/>
  <c r="L25" i="1"/>
  <c r="M25" i="1"/>
  <c r="M14" i="1"/>
  <c r="K23" i="1"/>
  <c r="L4" i="1"/>
  <c r="L23" i="1"/>
  <c r="M23" i="1"/>
  <c r="M4" i="1"/>
  <c r="B15" i="1"/>
  <c r="B14" i="1"/>
  <c r="B7" i="1"/>
  <c r="B4" i="1"/>
  <c r="B20" i="2"/>
  <c r="A1" i="1"/>
  <c r="E1" i="6"/>
  <c r="H1" i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/>
  <c r="J6" i="1"/>
  <c r="J19" i="1"/>
  <c r="K6" i="1"/>
  <c r="K19" i="1"/>
  <c r="G6" i="1"/>
  <c r="G19" i="1"/>
  <c r="C6" i="1"/>
  <c r="C19" i="1"/>
  <c r="D6" i="1"/>
  <c r="D19" i="1"/>
  <c r="B6" i="1"/>
  <c r="B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7" i="2"/>
  <c r="B16" i="2"/>
  <c r="B12" i="2"/>
  <c r="B11" i="2"/>
  <c r="B10" i="2"/>
  <c r="B8" i="2"/>
  <c r="B3" i="2"/>
  <c r="J14" i="3"/>
  <c r="H14" i="3"/>
  <c r="F14" i="3"/>
  <c r="B12" i="3"/>
  <c r="B11" i="3"/>
  <c r="B10" i="3"/>
  <c r="B9" i="3"/>
  <c r="B8" i="3"/>
  <c r="B7" i="3"/>
  <c r="B4" i="3"/>
  <c r="B14" i="3"/>
  <c r="B3" i="3"/>
  <c r="H23" i="1"/>
  <c r="I23" i="1"/>
  <c r="J23" i="1"/>
  <c r="N23" i="1"/>
  <c r="N4" i="1"/>
  <c r="F6" i="1"/>
  <c r="F19" i="1"/>
  <c r="H6" i="1"/>
  <c r="H19" i="1"/>
  <c r="H24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1" i="1"/>
  <c r="L10" i="1"/>
  <c r="N11" i="1"/>
  <c r="L6" i="1"/>
  <c r="L19" i="1"/>
  <c r="L24" i="1"/>
  <c r="A1" i="3"/>
  <c r="A1" i="2"/>
  <c r="A1" i="4"/>
  <c r="L5" i="1"/>
  <c r="M11" i="1"/>
  <c r="J25" i="1"/>
  <c r="M9" i="1"/>
  <c r="N9" i="1"/>
  <c r="N8" i="1"/>
  <c r="M8" i="1"/>
  <c r="H25" i="1"/>
  <c r="I25" i="1"/>
  <c r="N25" i="1"/>
  <c r="N14" i="1"/>
  <c r="I20" i="2"/>
  <c r="J24" i="1"/>
  <c r="H20" i="2"/>
  <c r="E1" i="4"/>
  <c r="I24" i="1"/>
  <c r="K24" i="1"/>
  <c r="M24" i="1"/>
  <c r="M6" i="1"/>
  <c r="M10" i="1"/>
  <c r="M12" i="1"/>
  <c r="M13" i="1"/>
  <c r="M15" i="1"/>
  <c r="N24" i="1"/>
  <c r="N6" i="1"/>
  <c r="N10" i="1"/>
  <c r="N12" i="1"/>
  <c r="N13" i="1"/>
  <c r="N15" i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<sst xmlns="http://schemas.openxmlformats.org/spreadsheetml/2006/main" count="145" uniqueCount="93">
  <si>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</si>
  <si>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</si>
  <si>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</si>
  <si>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</si>
  <si>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</si>
  <si>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</si>
  <si>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</si>
  <si>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</si>
  <si>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</si>
  <si>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</si>
  <si>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</si>
  <si>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</si>
  <si>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</si>
  <si>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</si>
  <si>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</si>
  <si>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</si>
  <si>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</si>
  <si>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</si>
  <si>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</si>
  <si>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</si>
  <si>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</si>
  <si>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</si>
  <si>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</si>
  <si>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</si>
  <si>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</si>
  <si>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</si>
  <si>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</si>
  <si>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</si>
  <si>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</si>
  <si>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</si>
  <si>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</si>
  <si>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</si>
  <si>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</si>
  <si>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</si>
  <si>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</si>
  <si>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</si>
  <si>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</si>
  <si>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</si>
  <si>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</si>
  <si>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</si>
  <si>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</si>
  <si>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</si>
  <si>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</si>
  <si>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</si>
  <si>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</si>
  <si>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</si>
  <si>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</si>
  <si>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</si>
  <si>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</si>
  <si>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</si>
  <si>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</si>
  <si>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</si>
  <si>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</si>
  <si>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</si>
  <si>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</si>
  <si>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</si>
  <si>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</si>
  <si>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</si>
  <si>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</si>
  <si>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</si>
  <si>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</si>
  <si>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</si>
  <si>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</si>
  <si>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ASIAN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</si>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</sst>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screener.in/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printerSettings" Target="../printerSettings/printerSettings2.bin" /><Relationship Id="rId1" Type="http://schemas.openxmlformats.org/officeDocument/2006/relationships/hyperlink" Target="http://www.screener.in/" TargetMode="Externa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hyperlink" Target="http://www.screener.in/" TargetMode="Externa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 /><Relationship Id="rId1" Type="http://schemas.openxmlformats.org/officeDocument/2006/relationships/hyperlink" Target="http://www.screener.in/" TargetMode="Externa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 /><Relationship Id="rId1" Type="http://schemas.openxmlformats.org/officeDocument/2006/relationships/hyperlink" Target="https://www.screener.in/excel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bottomLeft" activeCell="I2" sqref="I2"/>
      <selection pane="topRight" activeCell="I2" sqref="I2"/>
      <selection pane="bottomRight" activeCell="M15" sqref="M15"/>
    </sheetView>
  </sheetViews>
  <sheetFormatPr defaultColWidth="8.875" defaultRowHeight="15" x14ac:dyDescent="0.2"/>
  <cols>
    <col min="1" max="1" width="20.71484375" style="6" customWidth="1"/>
    <col min="2" max="6" width="13.44921875" style="6" customWidth="1"/>
    <col min="7" max="7" width="14.796875" style="6" bestFit="1" customWidth="1"/>
    <col min="8" max="11" width="13.44921875" style="6" customWidth="1"/>
    <col min="12" max="12" width="13.31640625" style="6" customWidth="1"/>
    <col min="13" max="14" width="12.10546875" style="6" customWidth="1"/>
    <col min="15" max="16384" width="8.875" style="6"/>
  </cols>
  <sheetData>
    <row r="1" spans="1:14" s="8" customFormat="1" x14ac:dyDescent="0.2">
      <c r="A1" s="8" t="str">
        <f>'Data Sheet'!B1</f>
        <v>ASIAN PAINTS LTD</v>
      </c>
      <c r="H1" t="str">
        <f>UPDATE</f>
        <v/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  <v>14271.49</v>
      </c>
      <c r="C4" s="1">
        <f>'Data Sheet'!C17</f>
        <v>15061.99</v>
      </c>
      <c r="D4" s="1">
        <f>'Data Sheet'!D17</f>
        <v>16824.55</v>
      </c>
      <c r="E4" s="1">
        <f>'Data Sheet'!E17</f>
        <v>19240.13</v>
      </c>
      <c r="F4" s="1">
        <f>'Data Sheet'!F17</f>
        <v>20211.25</v>
      </c>
      <c r="G4" s="1">
        <f>'Data Sheet'!G17</f>
        <v>21712.79</v>
      </c>
      <c r="H4" s="1">
        <f>'Data Sheet'!H17</f>
        <v>29101.279999999999</v>
      </c>
      <c r="I4" s="1">
        <f>'Data Sheet'!I17</f>
        <v>34488.589999999997</v>
      </c>
      <c r="J4" s="1">
        <f>'Data Sheet'!J17</f>
        <v>35494.730000000003</v>
      </c>
      <c r="K4" s="1">
        <f>'Data Sheet'!K17</f>
        <v>33905.620000000003</v>
      </c>
      <c r="L4" s="1">
        <f>SUM(Quarters!H4:K4)</f>
        <v>33874.44</v>
      </c>
      <c r="M4" s="1">
        <f>$K4+M23*K4</f>
        <v>35677.265195093263</v>
      </c>
      <c r="N4" s="1">
        <f>$K4+N23*L4</f>
        <v>33874.468673488351</v>
      </c>
    </row>
    <row r="5" spans="1:14" x14ac:dyDescent="0.2">
      <c r="A5" s="6" t="s">
        <v>7</v>
      </c>
      <c r="B5" s="9">
        <f>SUM('Data Sheet'!B18,'Data Sheet'!B20:B24, -1*'Data Sheet'!B19)</f>
        <v>11546.449999999997</v>
      </c>
      <c r="C5" s="9">
        <f>SUM('Data Sheet'!C18,'Data Sheet'!C20:C24, -1*'Data Sheet'!C19)</f>
        <v>12068.23</v>
      </c>
      <c r="D5" s="9">
        <f>SUM('Data Sheet'!D18,'Data Sheet'!D20:D24, -1*'Data Sheet'!D19)</f>
        <v>13620.539999999999</v>
      </c>
      <c r="E5" s="9">
        <f>SUM('Data Sheet'!E18,'Data Sheet'!E20:E24, -1*'Data Sheet'!E19)</f>
        <v>15475.189999999999</v>
      </c>
      <c r="F5" s="9">
        <f>SUM('Data Sheet'!F18,'Data Sheet'!F20:F24, -1*'Data Sheet'!F19)</f>
        <v>16054.430000000002</v>
      </c>
      <c r="G5" s="9">
        <f>SUM('Data Sheet'!G18,'Data Sheet'!G20:G24, -1*'Data Sheet'!G19)</f>
        <v>16857.189999999999</v>
      </c>
      <c r="H5" s="9">
        <f>SUM('Data Sheet'!H18,'Data Sheet'!H20:H24, -1*'Data Sheet'!H19)</f>
        <v>24297.67</v>
      </c>
      <c r="I5" s="9">
        <f>SUM('Data Sheet'!I18,'Data Sheet'!I20:I24, -1*'Data Sheet'!I19)</f>
        <v>28228.75</v>
      </c>
      <c r="J5" s="9">
        <f>SUM('Data Sheet'!J18,'Data Sheet'!J20:J24, -1*'Data Sheet'!J19)</f>
        <v>27909.750000000004</v>
      </c>
      <c r="K5" s="9">
        <f>SUM('Data Sheet'!K18,'Data Sheet'!K20:K24, -1*'Data Sheet'!K19)</f>
        <v>27899.41</v>
      </c>
      <c r="L5" s="9">
        <f>SUM(Quarters!H5:K5)</f>
        <v>27937.03</v>
      </c>
      <c r="M5" s="9">
        <f t="shared" ref="M5:N5" si="0">M4-M6</f>
        <v>28860.076939002171</v>
      </c>
      <c r="N5" s="9">
        <f t="shared" si="0"/>
        <v>27937.05364768552</v>
      </c>
    </row>
    <row r="6" spans="1:14" s="8" customFormat="1" x14ac:dyDescent="0.2">
      <c r="A6" s="8" t="s">
        <v>8</v>
      </c>
      <c r="B6" s="1">
        <f>B4-B5</f>
        <v>2725.0400000000027</v>
      </c>
      <c r="C6" s="1">
        <f t="shared" ref="C6:K6" si="1">C4-C5</f>
        <v>2993.76</v>
      </c>
      <c r="D6" s="1">
        <f t="shared" si="1"/>
        <v>3204.01</v>
      </c>
      <c r="E6" s="1">
        <f t="shared" si="1"/>
        <v>3764.9400000000023</v>
      </c>
      <c r="F6" s="1">
        <f t="shared" si="1"/>
        <v>4156.8199999999979</v>
      </c>
      <c r="G6" s="1">
        <f t="shared" si="1"/>
        <v>4855.6000000000022</v>
      </c>
      <c r="H6" s="1">
        <f t="shared" si="1"/>
        <v>4803.6100000000006</v>
      </c>
      <c r="I6" s="1">
        <f t="shared" si="1"/>
        <v>6259.8399999999965</v>
      </c>
      <c r="J6" s="1">
        <f t="shared" si="1"/>
        <v>7584.98</v>
      </c>
      <c r="K6" s="1">
        <f t="shared" si="1"/>
        <v>6006.2100000000028</v>
      </c>
      <c r="L6" s="1">
        <f>SUM(Quarters!H6:K6)</f>
        <v>5937.41</v>
      </c>
      <c r="M6" s="1">
        <f>M4*M24</f>
        <v>6817.1882560910926</v>
      </c>
      <c r="N6" s="1">
        <f>N4*N24</f>
        <v>5937.4150258028312</v>
      </c>
    </row>
    <row r="7" spans="1:14" x14ac:dyDescent="0.2">
      <c r="A7" s="6" t="s">
        <v>9</v>
      </c>
      <c r="B7" s="9">
        <f>'Data Sheet'!B25</f>
        <v>213.39</v>
      </c>
      <c r="C7" s="9">
        <f>'Data Sheet'!C25</f>
        <v>337.9</v>
      </c>
      <c r="D7" s="9">
        <f>'Data Sheet'!D25</f>
        <v>336.41</v>
      </c>
      <c r="E7" s="9">
        <f>'Data Sheet'!E25</f>
        <v>273.77</v>
      </c>
      <c r="F7" s="9">
        <f>'Data Sheet'!F25</f>
        <v>355.05</v>
      </c>
      <c r="G7" s="9">
        <f>'Data Sheet'!G25</f>
        <v>331.65</v>
      </c>
      <c r="H7" s="9">
        <f>'Data Sheet'!H25</f>
        <v>295.88</v>
      </c>
      <c r="I7" s="9">
        <f>'Data Sheet'!I25</f>
        <v>431.46</v>
      </c>
      <c r="J7" s="9">
        <f>'Data Sheet'!J25</f>
        <v>820.96</v>
      </c>
      <c r="K7" s="9">
        <f>'Data Sheet'!K25</f>
        <v>350.22</v>
      </c>
      <c r="L7" s="9">
        <f>SUM(Quarters!H7:K7)</f>
        <v>386.4</v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  <v>275.58</v>
      </c>
      <c r="C8" s="9">
        <f>'Data Sheet'!C26</f>
        <v>334.79</v>
      </c>
      <c r="D8" s="9">
        <f>'Data Sheet'!D26</f>
        <v>360.47</v>
      </c>
      <c r="E8" s="9">
        <f>'Data Sheet'!E26</f>
        <v>622.14</v>
      </c>
      <c r="F8" s="9">
        <f>'Data Sheet'!F26</f>
        <v>780.5</v>
      </c>
      <c r="G8" s="9">
        <f>'Data Sheet'!G26</f>
        <v>791.27</v>
      </c>
      <c r="H8" s="9">
        <f>'Data Sheet'!H26</f>
        <v>816.36</v>
      </c>
      <c r="I8" s="9">
        <f>'Data Sheet'!I26</f>
        <v>858.02</v>
      </c>
      <c r="J8" s="9">
        <f>'Data Sheet'!J26</f>
        <v>853</v>
      </c>
      <c r="K8" s="9">
        <f>'Data Sheet'!K26</f>
        <v>1026.3399999999999</v>
      </c>
      <c r="L8" s="9">
        <f>SUM(Quarters!H8:K8)</f>
        <v>1099.5100000000002</v>
      </c>
      <c r="M8" s="9">
        <f>+$L8</f>
        <v>1099.5100000000002</v>
      </c>
      <c r="N8" s="9">
        <f>+$L8</f>
        <v>1099.5100000000002</v>
      </c>
    </row>
    <row r="9" spans="1:14" x14ac:dyDescent="0.2">
      <c r="A9" s="6" t="s">
        <v>11</v>
      </c>
      <c r="B9" s="9">
        <f>'Data Sheet'!B27</f>
        <v>49</v>
      </c>
      <c r="C9" s="9">
        <f>'Data Sheet'!C27</f>
        <v>37.33</v>
      </c>
      <c r="D9" s="9">
        <f>'Data Sheet'!D27</f>
        <v>41.47</v>
      </c>
      <c r="E9" s="9">
        <f>'Data Sheet'!E27</f>
        <v>110.47</v>
      </c>
      <c r="F9" s="9">
        <f>'Data Sheet'!F27</f>
        <v>102.33</v>
      </c>
      <c r="G9" s="9">
        <f>'Data Sheet'!G27</f>
        <v>91.63</v>
      </c>
      <c r="H9" s="9">
        <f>'Data Sheet'!H27</f>
        <v>95.41</v>
      </c>
      <c r="I9" s="9">
        <f>'Data Sheet'!I27</f>
        <v>144.44999999999999</v>
      </c>
      <c r="J9" s="9">
        <f>'Data Sheet'!J27</f>
        <v>205.17</v>
      </c>
      <c r="K9" s="9">
        <f>'Data Sheet'!K27</f>
        <v>227.02</v>
      </c>
      <c r="L9" s="9">
        <f>SUM(Quarters!H9:K9)</f>
        <v>216.14</v>
      </c>
      <c r="M9" s="9">
        <f>+$L9</f>
        <v>216.14</v>
      </c>
      <c r="N9" s="9">
        <f>+$L9</f>
        <v>216.14</v>
      </c>
    </row>
    <row r="10" spans="1:14" x14ac:dyDescent="0.2">
      <c r="A10" s="6" t="s">
        <v>12</v>
      </c>
      <c r="B10" s="9">
        <f>'Data Sheet'!B28</f>
        <v>2613.85</v>
      </c>
      <c r="C10" s="9">
        <f>'Data Sheet'!C28</f>
        <v>2959.54</v>
      </c>
      <c r="D10" s="9">
        <f>'Data Sheet'!D28</f>
        <v>3138.48</v>
      </c>
      <c r="E10" s="9">
        <f>'Data Sheet'!E28</f>
        <v>3306.1</v>
      </c>
      <c r="F10" s="9">
        <f>'Data Sheet'!F28</f>
        <v>3629.04</v>
      </c>
      <c r="G10" s="9">
        <f>'Data Sheet'!G28</f>
        <v>4304.3500000000004</v>
      </c>
      <c r="H10" s="9">
        <f>'Data Sheet'!H28</f>
        <v>4187.72</v>
      </c>
      <c r="I10" s="9">
        <f>'Data Sheet'!I28</f>
        <v>5688.83</v>
      </c>
      <c r="J10" s="9">
        <f>'Data Sheet'!J28</f>
        <v>7347.77</v>
      </c>
      <c r="K10" s="9">
        <f>'Data Sheet'!K28</f>
        <v>5103.07</v>
      </c>
      <c r="L10" s="9">
        <f>SUM(Quarters!H10:K10)</f>
        <v>5008.16</v>
      </c>
      <c r="M10" s="9">
        <f>M6+M7-SUM(M8:M9)</f>
        <v>5501.538256091093</v>
      </c>
      <c r="N10" s="9">
        <f>N6+N7-SUM(N8:N9)</f>
        <v>4621.7650258028316</v>
      </c>
    </row>
    <row r="11" spans="1:14" x14ac:dyDescent="0.2">
      <c r="A11" s="6" t="s">
        <v>13</v>
      </c>
      <c r="B11" s="9">
        <f>'Data Sheet'!B29</f>
        <v>844.49</v>
      </c>
      <c r="C11" s="9">
        <f>'Data Sheet'!C29</f>
        <v>943.29</v>
      </c>
      <c r="D11" s="9">
        <f>'Data Sheet'!D29</f>
        <v>1040.96</v>
      </c>
      <c r="E11" s="9">
        <f>'Data Sheet'!E29</f>
        <v>1098.06</v>
      </c>
      <c r="F11" s="9">
        <f>'Data Sheet'!F29</f>
        <v>854.85</v>
      </c>
      <c r="G11" s="9">
        <f>'Data Sheet'!G29</f>
        <v>1097.5999999999999</v>
      </c>
      <c r="H11" s="9">
        <f>'Data Sheet'!H29</f>
        <v>1102.9100000000001</v>
      </c>
      <c r="I11" s="9">
        <f>'Data Sheet'!I29</f>
        <v>1493.5</v>
      </c>
      <c r="J11" s="9">
        <f>'Data Sheet'!J29</f>
        <v>1790.08</v>
      </c>
      <c r="K11" s="9">
        <f>'Data Sheet'!K29</f>
        <v>1393.36</v>
      </c>
      <c r="L11" s="9">
        <f>SUM(Quarters!H11:K11)</f>
        <v>1368.19</v>
      </c>
      <c r="M11" s="10">
        <f>IF($L10&gt;0,$L11/$L10,0)</f>
        <v>0.27319215041053002</v>
      </c>
      <c r="N11" s="10">
        <f>IF($L10&gt;0,$L11/$L10,0)</f>
        <v>0.27319215041053002</v>
      </c>
    </row>
    <row r="12" spans="1:14" s="8" customFormat="1" x14ac:dyDescent="0.2">
      <c r="A12" s="8" t="s">
        <v>14</v>
      </c>
      <c r="B12" s="1">
        <f>'Data Sheet'!B30</f>
        <v>1745.16</v>
      </c>
      <c r="C12" s="1">
        <f>'Data Sheet'!C30</f>
        <v>1939.43</v>
      </c>
      <c r="D12" s="1">
        <f>'Data Sheet'!D30</f>
        <v>2038.93</v>
      </c>
      <c r="E12" s="1">
        <f>'Data Sheet'!E30</f>
        <v>2155.92</v>
      </c>
      <c r="F12" s="1">
        <f>'Data Sheet'!F30</f>
        <v>2705.17</v>
      </c>
      <c r="G12" s="1">
        <f>'Data Sheet'!G30</f>
        <v>3139.29</v>
      </c>
      <c r="H12" s="1">
        <f>'Data Sheet'!H30</f>
        <v>3030.57</v>
      </c>
      <c r="I12" s="1">
        <f>'Data Sheet'!I30</f>
        <v>4106.45</v>
      </c>
      <c r="J12" s="1">
        <f>'Data Sheet'!J30</f>
        <v>5460.23</v>
      </c>
      <c r="K12" s="1">
        <f>'Data Sheet'!K30</f>
        <v>3667.23</v>
      </c>
      <c r="L12" s="1">
        <f>SUM(Quarters!H12:K12)</f>
        <v>3597.02</v>
      </c>
      <c r="M12" s="1">
        <f>M10-M11*M10</f>
        <v>3998.5611893437699</v>
      </c>
      <c r="N12" s="1">
        <f>N10-N11*N10</f>
        <v>3359.1350997115774</v>
      </c>
    </row>
    <row r="13" spans="1:14" x14ac:dyDescent="0.2">
      <c r="A13" s="11" t="s">
        <v>57</v>
      </c>
      <c r="B13" s="9">
        <f>IF('Data Sheet'!B93&gt;0,B12/'Data Sheet'!B93,0)</f>
        <v>18.193911592994162</v>
      </c>
      <c r="C13" s="9">
        <f>IF('Data Sheet'!C93&gt;0,C12/'Data Sheet'!C93,0)</f>
        <v>20.219245204336946</v>
      </c>
      <c r="D13" s="9">
        <f>IF('Data Sheet'!D93&gt;0,D12/'Data Sheet'!D93,0)</f>
        <v>21.256567973311093</v>
      </c>
      <c r="E13" s="9">
        <f>IF('Data Sheet'!E93&gt;0,E12/'Data Sheet'!E93,0)</f>
        <v>22.476230191826524</v>
      </c>
      <c r="F13" s="9">
        <f>IF('Data Sheet'!F93&gt;0,F12/'Data Sheet'!F93,0)</f>
        <v>28.202356130108424</v>
      </c>
      <c r="G13" s="9">
        <f>IF('Data Sheet'!G93&gt;0,G12/'Data Sheet'!G93,0)</f>
        <v>32.728211009174309</v>
      </c>
      <c r="H13" s="9">
        <f>IF('Data Sheet'!H93&gt;0,H12/'Data Sheet'!H93,0)</f>
        <v>31.594766472060051</v>
      </c>
      <c r="I13" s="9">
        <f>IF('Data Sheet'!I93&gt;0,I12/'Data Sheet'!I93,0)</f>
        <v>42.811196830692239</v>
      </c>
      <c r="J13" s="9">
        <f>IF('Data Sheet'!J93&gt;0,J12/'Data Sheet'!J93,0)</f>
        <v>56.924833194328599</v>
      </c>
      <c r="K13" s="9">
        <f>IF('Data Sheet'!K93&gt;0,K12/'Data Sheet'!K93,0)</f>
        <v>38.232172643869895</v>
      </c>
      <c r="L13" s="9">
        <f>IF('Data Sheet'!$B6&gt;0,'Profit &amp; Loss'!L12/'Data Sheet'!$B6,0)</f>
        <v>37.500299149240682</v>
      </c>
      <c r="M13" s="9">
        <f>IF('Data Sheet'!$B6&gt;0,'Profit &amp; Loss'!M12/'Data Sheet'!$B6,0)</f>
        <v>41.686518497793998</v>
      </c>
      <c r="N13" s="9">
        <f>IF('Data Sheet'!$B6&gt;0,'Profit &amp; Loss'!N12/'Data Sheet'!$B6,0)</f>
        <v>35.020258748046594</v>
      </c>
    </row>
    <row r="14" spans="1:14" x14ac:dyDescent="0.2">
      <c r="A14" s="6" t="s">
        <v>16</v>
      </c>
      <c r="B14" s="9">
        <f>IF(B15&gt;0,B15/B13,"")</f>
        <v>47.730252813495611</v>
      </c>
      <c r="C14" s="9">
        <f t="shared" ref="C14:K14" si="2">IF(C15&gt;0,C15/C13,"")</f>
        <v>53.092980927385881</v>
      </c>
      <c r="D14" s="9">
        <f t="shared" si="2"/>
        <v>52.708414707714347</v>
      </c>
      <c r="E14" s="9">
        <f t="shared" si="2"/>
        <v>66.41238264870681</v>
      </c>
      <c r="F14" s="9">
        <f t="shared" si="2"/>
        <v>59.090807601740373</v>
      </c>
      <c r="G14" s="9">
        <f t="shared" si="2"/>
        <v>77.529443918847903</v>
      </c>
      <c r="H14" s="9">
        <f t="shared" si="2"/>
        <v>97.482917075005687</v>
      </c>
      <c r="I14" s="9">
        <f t="shared" si="2"/>
        <v>64.507656978655532</v>
      </c>
      <c r="J14" s="9">
        <f t="shared" si="2"/>
        <v>50.00893002675712</v>
      </c>
      <c r="K14" s="9">
        <f t="shared" si="2"/>
        <v>61.221998074841224</v>
      </c>
      <c r="L14" s="9">
        <f t="shared" ref="L14" si="3">IF(L13&gt;0,L15/L13,0)</f>
        <v>65.559477011526198</v>
      </c>
      <c r="M14" s="9">
        <f>M25</f>
        <v>65.559477011526198</v>
      </c>
      <c r="N14" s="9">
        <f>N25</f>
        <v>60.324515522945021</v>
      </c>
    </row>
    <row r="15" spans="1:14" s="8" customFormat="1" x14ac:dyDescent="0.2">
      <c r="A15" s="8" t="s">
        <v>58</v>
      </c>
      <c r="B15" s="1">
        <f>'Data Sheet'!B90</f>
        <v>868.4</v>
      </c>
      <c r="C15" s="1">
        <f>'Data Sheet'!C90</f>
        <v>1073.5</v>
      </c>
      <c r="D15" s="1">
        <f>'Data Sheet'!D90</f>
        <v>1120.4000000000001</v>
      </c>
      <c r="E15" s="1">
        <f>'Data Sheet'!E90</f>
        <v>1492.7</v>
      </c>
      <c r="F15" s="1">
        <f>'Data Sheet'!F90</f>
        <v>1666.5</v>
      </c>
      <c r="G15" s="1">
        <f>'Data Sheet'!G90</f>
        <v>2537.4</v>
      </c>
      <c r="H15" s="1">
        <f>'Data Sheet'!H90</f>
        <v>3079.95</v>
      </c>
      <c r="I15" s="1">
        <f>'Data Sheet'!I90</f>
        <v>2761.65</v>
      </c>
      <c r="J15" s="1">
        <f>'Data Sheet'!J90</f>
        <v>2846.75</v>
      </c>
      <c r="K15" s="1">
        <f>'Data Sheet'!K90</f>
        <v>2340.65</v>
      </c>
      <c r="L15" s="1">
        <f>'Data Sheet'!B8</f>
        <v>2458.5</v>
      </c>
      <c r="M15" s="12">
        <f>M13*M14</f>
        <v>2732.946351146687</v>
      </c>
      <c r="N15" s="13">
        <f>N13*N14</f>
        <v>2112.5801424640881</v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  <v>0.41222581310596162</v>
      </c>
      <c r="C18" s="7">
        <f>IF('Data Sheet'!C30&gt;0, 'Data Sheet'!C31/'Data Sheet'!C30, 0)</f>
        <v>0.50941771551435211</v>
      </c>
      <c r="D18" s="7">
        <f>IF('Data Sheet'!D30&gt;0, 'Data Sheet'!D31/'Data Sheet'!D30, 0)</f>
        <v>0.40928330055470269</v>
      </c>
      <c r="E18" s="7">
        <f>IF('Data Sheet'!E30&gt;0, 'Data Sheet'!E31/'Data Sheet'!E30, 0)</f>
        <v>0.46716019147278187</v>
      </c>
      <c r="F18" s="7">
        <f>IF('Data Sheet'!F30&gt;0, 'Data Sheet'!F31/'Data Sheet'!F30, 0)</f>
        <v>0.42549636436896754</v>
      </c>
      <c r="G18" s="7">
        <f>IF('Data Sheet'!G30&gt;0, 'Data Sheet'!G31/'Data Sheet'!G30, 0)</f>
        <v>0.54540039308251231</v>
      </c>
      <c r="H18" s="7">
        <f>IF('Data Sheet'!H30&gt;0, 'Data Sheet'!H31/'Data Sheet'!H30, 0)</f>
        <v>0.6061137013829081</v>
      </c>
      <c r="I18" s="7">
        <f>IF('Data Sheet'!I30&gt;0, 'Data Sheet'!I31/'Data Sheet'!I30, 0)</f>
        <v>0.59914281191783658</v>
      </c>
      <c r="J18" s="7">
        <f>IF('Data Sheet'!J30&gt;0, 'Data Sheet'!J31/'Data Sheet'!J30, 0)</f>
        <v>0.58498268387961683</v>
      </c>
      <c r="K18" s="7">
        <f>IF('Data Sheet'!K30&gt;0, 'Data Sheet'!K31/'Data Sheet'!K30, 0)</f>
        <v>0.64866943169640301</v>
      </c>
    </row>
    <row r="19" spans="1:14" x14ac:dyDescent="0.2">
      <c r="A19" s="6" t="s">
        <v>18</v>
      </c>
      <c r="B19" s="7">
        <f t="shared" ref="B19:L19" si="4">IF(B6&gt;0,B6/B4,0)</f>
        <v>0.19094292186730347</v>
      </c>
      <c r="C19" s="7">
        <f t="shared" ref="C19:K19" si="5">IF(C6&gt;0,C6/C4,0)</f>
        <v>0.19876258050895004</v>
      </c>
      <c r="D19" s="7">
        <f t="shared" si="5"/>
        <v>0.19043659414367697</v>
      </c>
      <c r="E19" s="7">
        <f t="shared" si="5"/>
        <v>0.19568163000977656</v>
      </c>
      <c r="F19" s="7">
        <f t="shared" si="5"/>
        <v>0.20566862514688591</v>
      </c>
      <c r="G19" s="7">
        <f t="shared" si="5"/>
        <v>0.22362856178317028</v>
      </c>
      <c r="H19" s="7">
        <f t="shared" si="5"/>
        <v>0.16506524798909192</v>
      </c>
      <c r="I19" s="7">
        <f t="shared" si="5"/>
        <v>0.18150466574597562</v>
      </c>
      <c r="J19" s="7">
        <f t="shared" si="5"/>
        <v>0.21369313134654072</v>
      </c>
      <c r="K19" s="7">
        <f t="shared" si="5"/>
        <v>0.17714496888716391</v>
      </c>
      <c r="L19" s="7">
        <f t="shared" si="4"/>
        <v>0.17527699350897016</v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0.10092014636257685</v>
      </c>
      <c r="I23" s="7">
        <f>IF(D4=0,"",POWER($K4/D4,1/7)-1)</f>
        <v>0.10528801762676121</v>
      </c>
      <c r="J23" s="7">
        <f>IF(F4=0,"",POWER($K4/F4,1/5)-1)</f>
        <v>0.10901061549728808</v>
      </c>
      <c r="K23" s="7">
        <f>IF(H4=0,"",POWER($K4/H4, 1/3)-1)</f>
        <v>5.225225774055331E-2</v>
      </c>
      <c r="L23" s="7">
        <f>IF(ISERROR(MAX(IF(J4=0,"",(K4-J4)/J4),IF(K4=0,"",(L4-K4)/K4))),"",MAX(IF(J4=0,"",(K4-J4)/J4),IF(K4=0,"",(L4-K4)/K4)))</f>
        <v>-9.1961155702211873E-4</v>
      </c>
      <c r="M23" s="22">
        <f>MAX(K23:L23)</f>
        <v>5.225225774055331E-2</v>
      </c>
      <c r="N23" s="22">
        <f>MIN(H23:L23)</f>
        <v>-9.1961155702211873E-4</v>
      </c>
    </row>
    <row r="24" spans="1:14" x14ac:dyDescent="0.2">
      <c r="G24" s="6" t="s">
        <v>18</v>
      </c>
      <c r="H24" s="7">
        <f>IF(SUM(B4:$K$4)=0,"",SUMPRODUCT(B19:$K$19,B4:$K$4)/SUM(B4:$K$4))</f>
        <v>0.19289394197769724</v>
      </c>
      <c r="I24" s="7">
        <f>IF(SUM(E4:$K$4)=0,"",SUMPRODUCT(E19:$K$19,E4:$K$4)/SUM(E4:$K$4))</f>
        <v>0.19279502255910874</v>
      </c>
      <c r="J24" s="7">
        <f>IF(SUM(G4:$K$4)=0,"",SUMPRODUCT(G19:$K$19,G4:$K$4)/SUM(G4:$K$4))</f>
        <v>0.19075414240485689</v>
      </c>
      <c r="K24" s="7">
        <f>IF(SUM(I4:$K$4)=0, "", SUMPRODUCT(I19:$K$19,I4:$K$4)/SUM(I4:$K$4))</f>
        <v>0.1910793391481326</v>
      </c>
      <c r="L24" s="7">
        <f>L19</f>
        <v>0.17527699350897016</v>
      </c>
      <c r="M24" s="22">
        <f>MAX(K24:L24)</f>
        <v>0.1910793391481326</v>
      </c>
      <c r="N24" s="22">
        <f>MIN(H24:L24)</f>
        <v>0.17527699350897016</v>
      </c>
    </row>
    <row r="25" spans="1:14" x14ac:dyDescent="0.2">
      <c r="G25" s="6" t="s">
        <v>23</v>
      </c>
      <c r="H25" s="9">
        <f>IF(ISERROR(AVERAGEIF(B14:$L14,"&gt;0")),"",AVERAGEIF(B14:$L14,"&gt;0"))</f>
        <v>63.213205616788784</v>
      </c>
      <c r="I25" s="9">
        <f>IF(ISERROR(AVERAGEIF(E14:$L14,"&gt;0")),"",AVERAGEIF(E14:$L14,"&gt;0"))</f>
        <v>67.726701667010104</v>
      </c>
      <c r="J25" s="9">
        <f>IF(ISERROR(AVERAGEIF(G14:$L14,"&gt;0")),"",AVERAGEIF(G14:$L14,"&gt;0"))</f>
        <v>69.385070514272272</v>
      </c>
      <c r="K25" s="9">
        <f>IF(ISERROR(AVERAGEIF(I14:$L14,"&gt;0")),"",AVERAGEIF(I14:$L14,"&gt;0"))</f>
        <v>60.324515522945021</v>
      </c>
      <c r="L25" s="9">
        <f>L14</f>
        <v>65.559477011526198</v>
      </c>
      <c r="M25" s="1">
        <f>MAX(K25:L25)</f>
        <v>65.559477011526198</v>
      </c>
      <c r="N25" s="1">
        <f>MIN(H25:L25)</f>
        <v>60.324515522945021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bottomLeft" activeCell="A4" sqref="A4"/>
      <selection pane="topRight" activeCell="B1" sqref="B1"/>
      <selection pane="bottomRight" activeCell="K5" sqref="K5"/>
    </sheetView>
  </sheetViews>
  <sheetFormatPr defaultColWidth="8.875" defaultRowHeight="15" x14ac:dyDescent="0.2"/>
  <cols>
    <col min="1" max="1" width="20.71484375" style="6" customWidth="1"/>
    <col min="2" max="11" width="13.44921875" style="6" bestFit="1" customWidth="1"/>
    <col min="12" max="16384" width="8.875" style="6"/>
  </cols>
  <sheetData>
    <row r="1" spans="1:11" s="8" customFormat="1" x14ac:dyDescent="0.2">
      <c r="A1" s="8" t="str">
        <f>'Profit &amp; Loss'!A1</f>
        <v>ASIAN PAINTS LTD</v>
      </c>
      <c r="E1" t="str">
        <f>UPDATE</f>
        <v/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  <v>45016</v>
      </c>
      <c r="C3" s="16">
        <f>'Data Sheet'!C41</f>
        <v>45107</v>
      </c>
      <c r="D3" s="16">
        <f>'Data Sheet'!D41</f>
        <v>45199</v>
      </c>
      <c r="E3" s="16">
        <f>'Data Sheet'!E41</f>
        <v>45291</v>
      </c>
      <c r="F3" s="16">
        <f>'Data Sheet'!F41</f>
        <v>45382</v>
      </c>
      <c r="G3" s="16">
        <f>'Data Sheet'!G41</f>
        <v>45473</v>
      </c>
      <c r="H3" s="16">
        <f>'Data Sheet'!H41</f>
        <v>45565</v>
      </c>
      <c r="I3" s="16">
        <f>'Data Sheet'!I41</f>
        <v>45657</v>
      </c>
      <c r="J3" s="16">
        <f>'Data Sheet'!J41</f>
        <v>45747</v>
      </c>
      <c r="K3" s="16">
        <f>'Data Sheet'!K41</f>
        <v>45838</v>
      </c>
    </row>
    <row r="4" spans="1:11" s="8" customFormat="1" x14ac:dyDescent="0.2">
      <c r="A4" s="8" t="s">
        <v>6</v>
      </c>
      <c r="B4" s="1">
        <f>'Data Sheet'!B42</f>
        <v>8787.34</v>
      </c>
      <c r="C4" s="1">
        <f>'Data Sheet'!C42</f>
        <v>9182.31</v>
      </c>
      <c r="D4" s="1">
        <f>'Data Sheet'!D42</f>
        <v>8478.57</v>
      </c>
      <c r="E4" s="1">
        <f>'Data Sheet'!E42</f>
        <v>9103.09</v>
      </c>
      <c r="F4" s="1">
        <f>'Data Sheet'!F42</f>
        <v>8730.76</v>
      </c>
      <c r="G4" s="1">
        <f>'Data Sheet'!G42</f>
        <v>8969.73</v>
      </c>
      <c r="H4" s="1">
        <f>'Data Sheet'!H42</f>
        <v>8027.54</v>
      </c>
      <c r="I4" s="1">
        <f>'Data Sheet'!I42</f>
        <v>8549.44</v>
      </c>
      <c r="J4" s="1">
        <f>'Data Sheet'!J42</f>
        <v>8358.91</v>
      </c>
      <c r="K4" s="1">
        <f>'Data Sheet'!K42</f>
        <v>8938.5499999999993</v>
      </c>
    </row>
    <row r="5" spans="1:11" x14ac:dyDescent="0.2">
      <c r="A5" s="6" t="s">
        <v>7</v>
      </c>
      <c r="B5" s="9">
        <f>'Data Sheet'!B43</f>
        <v>6922.58</v>
      </c>
      <c r="C5" s="9">
        <f>'Data Sheet'!C43</f>
        <v>7061.02</v>
      </c>
      <c r="D5" s="9">
        <f>'Data Sheet'!D43</f>
        <v>6762.34</v>
      </c>
      <c r="E5" s="9">
        <f>'Data Sheet'!E43</f>
        <v>7047</v>
      </c>
      <c r="F5" s="9">
        <f>'Data Sheet'!F43</f>
        <v>7039.39</v>
      </c>
      <c r="G5" s="9">
        <f>'Data Sheet'!G43</f>
        <v>7275.96</v>
      </c>
      <c r="H5" s="9">
        <f>'Data Sheet'!H43</f>
        <v>6788.03</v>
      </c>
      <c r="I5" s="9">
        <f>'Data Sheet'!I43</f>
        <v>6912.71</v>
      </c>
      <c r="J5" s="9">
        <f>'Data Sheet'!J43</f>
        <v>6922.71</v>
      </c>
      <c r="K5" s="9">
        <f>'Data Sheet'!K43</f>
        <v>7313.58</v>
      </c>
    </row>
    <row r="6" spans="1:11" s="8" customFormat="1" x14ac:dyDescent="0.2">
      <c r="A6" s="8" t="s">
        <v>8</v>
      </c>
      <c r="B6" s="1">
        <f>'Data Sheet'!B50</f>
        <v>1864.76</v>
      </c>
      <c r="C6" s="1">
        <f>'Data Sheet'!C50</f>
        <v>2121.29</v>
      </c>
      <c r="D6" s="1">
        <f>'Data Sheet'!D50</f>
        <v>1716.23</v>
      </c>
      <c r="E6" s="1">
        <f>'Data Sheet'!E50</f>
        <v>2056.09</v>
      </c>
      <c r="F6" s="1">
        <f>'Data Sheet'!F50</f>
        <v>1691.37</v>
      </c>
      <c r="G6" s="1">
        <f>'Data Sheet'!G50</f>
        <v>1693.77</v>
      </c>
      <c r="H6" s="1">
        <f>'Data Sheet'!H50</f>
        <v>1239.51</v>
      </c>
      <c r="I6" s="1">
        <f>'Data Sheet'!I50</f>
        <v>1636.73</v>
      </c>
      <c r="J6" s="1">
        <f>'Data Sheet'!J50</f>
        <v>1436.2</v>
      </c>
      <c r="K6" s="1">
        <f>'Data Sheet'!K50</f>
        <v>1624.97</v>
      </c>
    </row>
    <row r="7" spans="1:11" x14ac:dyDescent="0.2">
      <c r="A7" s="6" t="s">
        <v>9</v>
      </c>
      <c r="B7" s="9">
        <f>'Data Sheet'!B44</f>
        <v>104.17</v>
      </c>
      <c r="C7" s="9">
        <f>'Data Sheet'!C44</f>
        <v>227.74</v>
      </c>
      <c r="D7" s="9">
        <f>'Data Sheet'!D44</f>
        <v>194.33</v>
      </c>
      <c r="E7" s="9">
        <f>'Data Sheet'!E44</f>
        <v>186.46</v>
      </c>
      <c r="F7" s="9">
        <f>'Data Sheet'!F44</f>
        <v>212.43</v>
      </c>
      <c r="G7" s="9">
        <f>'Data Sheet'!G44</f>
        <v>192.93</v>
      </c>
      <c r="H7" s="9">
        <f>'Data Sheet'!H44</f>
        <v>24.53</v>
      </c>
      <c r="I7" s="9">
        <f>'Data Sheet'!I44</f>
        <v>192.82</v>
      </c>
      <c r="J7" s="9">
        <f>'Data Sheet'!J44</f>
        <v>-60.06</v>
      </c>
      <c r="K7" s="9">
        <f>'Data Sheet'!K44</f>
        <v>229.11</v>
      </c>
    </row>
    <row r="8" spans="1:11" x14ac:dyDescent="0.2">
      <c r="A8" s="6" t="s">
        <v>10</v>
      </c>
      <c r="B8" s="9">
        <f>'Data Sheet'!B45</f>
        <v>220.17</v>
      </c>
      <c r="C8" s="9">
        <f>'Data Sheet'!C45</f>
        <v>198.32</v>
      </c>
      <c r="D8" s="9">
        <f>'Data Sheet'!D45</f>
        <v>208.72</v>
      </c>
      <c r="E8" s="9">
        <f>'Data Sheet'!E45</f>
        <v>220.35</v>
      </c>
      <c r="F8" s="9">
        <f>'Data Sheet'!F45</f>
        <v>225.61</v>
      </c>
      <c r="G8" s="9">
        <f>'Data Sheet'!G45</f>
        <v>227.7</v>
      </c>
      <c r="H8" s="9">
        <f>'Data Sheet'!H45</f>
        <v>241.99</v>
      </c>
      <c r="I8" s="9">
        <f>'Data Sheet'!I45</f>
        <v>255.55</v>
      </c>
      <c r="J8" s="9">
        <f>'Data Sheet'!J45</f>
        <v>301.10000000000002</v>
      </c>
      <c r="K8" s="9">
        <f>'Data Sheet'!K45</f>
        <v>300.87</v>
      </c>
    </row>
    <row r="9" spans="1:11" x14ac:dyDescent="0.2">
      <c r="A9" s="6" t="s">
        <v>11</v>
      </c>
      <c r="B9" s="9">
        <f>'Data Sheet'!B46</f>
        <v>38.909999999999997</v>
      </c>
      <c r="C9" s="9">
        <f>'Data Sheet'!C46</f>
        <v>45.75</v>
      </c>
      <c r="D9" s="9">
        <f>'Data Sheet'!D46</f>
        <v>50.9</v>
      </c>
      <c r="E9" s="9">
        <f>'Data Sheet'!E46</f>
        <v>54.42</v>
      </c>
      <c r="F9" s="9">
        <f>'Data Sheet'!F46</f>
        <v>54.1</v>
      </c>
      <c r="G9" s="9">
        <f>'Data Sheet'!G46</f>
        <v>55.38</v>
      </c>
      <c r="H9" s="9">
        <f>'Data Sheet'!H46</f>
        <v>63.01</v>
      </c>
      <c r="I9" s="9">
        <f>'Data Sheet'!I46</f>
        <v>55.84</v>
      </c>
      <c r="J9" s="9">
        <f>'Data Sheet'!J46</f>
        <v>52.79</v>
      </c>
      <c r="K9" s="9">
        <f>'Data Sheet'!K46</f>
        <v>44.5</v>
      </c>
    </row>
    <row r="10" spans="1:11" x14ac:dyDescent="0.2">
      <c r="A10" s="6" t="s">
        <v>12</v>
      </c>
      <c r="B10" s="9">
        <f>'Data Sheet'!B47</f>
        <v>1709.85</v>
      </c>
      <c r="C10" s="9">
        <f>'Data Sheet'!C47</f>
        <v>2104.96</v>
      </c>
      <c r="D10" s="9">
        <f>'Data Sheet'!D47</f>
        <v>1650.94</v>
      </c>
      <c r="E10" s="9">
        <f>'Data Sheet'!E47</f>
        <v>1967.78</v>
      </c>
      <c r="F10" s="9">
        <f>'Data Sheet'!F47</f>
        <v>1624.09</v>
      </c>
      <c r="G10" s="9">
        <f>'Data Sheet'!G47</f>
        <v>1603.62</v>
      </c>
      <c r="H10" s="9">
        <f>'Data Sheet'!H47</f>
        <v>959.04</v>
      </c>
      <c r="I10" s="9">
        <f>'Data Sheet'!I47</f>
        <v>1518.16</v>
      </c>
      <c r="J10" s="9">
        <f>'Data Sheet'!J47</f>
        <v>1022.25</v>
      </c>
      <c r="K10" s="9">
        <f>'Data Sheet'!K47</f>
        <v>1508.71</v>
      </c>
    </row>
    <row r="11" spans="1:11" x14ac:dyDescent="0.2">
      <c r="A11" s="6" t="s">
        <v>13</v>
      </c>
      <c r="B11" s="9">
        <f>'Data Sheet'!B48</f>
        <v>451.44</v>
      </c>
      <c r="C11" s="9">
        <f>'Data Sheet'!C48</f>
        <v>530.12</v>
      </c>
      <c r="D11" s="9">
        <f>'Data Sheet'!D48</f>
        <v>418.55</v>
      </c>
      <c r="E11" s="9">
        <f>'Data Sheet'!E48</f>
        <v>492.62</v>
      </c>
      <c r="F11" s="9">
        <f>'Data Sheet'!F48</f>
        <v>348.79</v>
      </c>
      <c r="G11" s="9">
        <f>'Data Sheet'!G48</f>
        <v>416.83</v>
      </c>
      <c r="H11" s="9">
        <f>'Data Sheet'!H48</f>
        <v>265.38</v>
      </c>
      <c r="I11" s="9">
        <f>'Data Sheet'!I48</f>
        <v>389.73</v>
      </c>
      <c r="J11" s="9">
        <f>'Data Sheet'!J48</f>
        <v>321.42</v>
      </c>
      <c r="K11" s="9">
        <f>'Data Sheet'!K48</f>
        <v>391.66</v>
      </c>
    </row>
    <row r="12" spans="1:11" s="8" customFormat="1" x14ac:dyDescent="0.2">
      <c r="A12" s="8" t="s">
        <v>14</v>
      </c>
      <c r="B12" s="1">
        <f>'Data Sheet'!B49</f>
        <v>1234.1400000000001</v>
      </c>
      <c r="C12" s="1">
        <f>'Data Sheet'!C49</f>
        <v>1550.37</v>
      </c>
      <c r="D12" s="1">
        <f>'Data Sheet'!D49</f>
        <v>1205.42</v>
      </c>
      <c r="E12" s="1">
        <f>'Data Sheet'!E49</f>
        <v>1447.72</v>
      </c>
      <c r="F12" s="1">
        <f>'Data Sheet'!F49</f>
        <v>1256.72</v>
      </c>
      <c r="G12" s="1">
        <f>'Data Sheet'!G49</f>
        <v>1169.98</v>
      </c>
      <c r="H12" s="1">
        <f>'Data Sheet'!H49</f>
        <v>694.64</v>
      </c>
      <c r="I12" s="1">
        <f>'Data Sheet'!I49</f>
        <v>1110.48</v>
      </c>
      <c r="J12" s="1">
        <f>'Data Sheet'!J49</f>
        <v>692.13</v>
      </c>
      <c r="K12" s="1">
        <f>'Data Sheet'!K49</f>
        <v>1099.77</v>
      </c>
    </row>
    <row r="14" spans="1:11" s="8" customFormat="1" x14ac:dyDescent="0.2">
      <c r="A14" s="2" t="s">
        <v>18</v>
      </c>
      <c r="B14" s="14">
        <f>IF(B4&gt;0,B6/B4,"")</f>
        <v>0.21220983824456546</v>
      </c>
      <c r="C14" s="14">
        <f t="shared" ref="C14:K14" si="0">IF(C4&gt;0,C6/C4,"")</f>
        <v>0.23101920976312063</v>
      </c>
      <c r="D14" s="14">
        <f t="shared" si="0"/>
        <v>0.20241974766971318</v>
      </c>
      <c r="E14" s="14">
        <f t="shared" si="0"/>
        <v>0.22586726045771272</v>
      </c>
      <c r="F14" s="14">
        <f t="shared" si="0"/>
        <v>0.19372540305769484</v>
      </c>
      <c r="G14" s="14">
        <f t="shared" si="0"/>
        <v>0.18883177085597894</v>
      </c>
      <c r="H14" s="14">
        <f t="shared" si="0"/>
        <v>0.15440720320297377</v>
      </c>
      <c r="I14" s="14">
        <f t="shared" si="0"/>
        <v>0.19144294831006475</v>
      </c>
      <c r="J14" s="14">
        <f t="shared" si="0"/>
        <v>0.17181666030618825</v>
      </c>
      <c r="K14" s="14">
        <f t="shared" si="0"/>
        <v>0.18179346762058726</v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bottomLeft" activeCell="C4" sqref="C4"/>
      <selection pane="topRight" activeCell="C4" sqref="C4"/>
      <selection pane="bottomRight" activeCell="K24" sqref="K24"/>
    </sheetView>
  </sheetViews>
  <sheetFormatPr defaultColWidth="8.875" defaultRowHeight="15" x14ac:dyDescent="0.2"/>
  <cols>
    <col min="1" max="1" width="22.8671875" style="11" bestFit="1" customWidth="1"/>
    <col min="2" max="2" width="13.44921875" style="11" customWidth="1"/>
    <col min="3" max="11" width="15.46875" style="11" customWidth="1"/>
    <col min="12" max="16384" width="8.875" style="11"/>
  </cols>
  <sheetData>
    <row r="1" spans="1:11" s="8" customFormat="1" x14ac:dyDescent="0.2">
      <c r="A1" s="8" t="str">
        <f>'Profit &amp; Loss'!A1</f>
        <v>ASIAN PAINTS LTD</v>
      </c>
      <c r="E1" t="str">
        <f>UPDATE</f>
        <v/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 x14ac:dyDescent="0.2">
      <c r="A4" s="6" t="s">
        <v>24</v>
      </c>
      <c r="B4" s="19">
        <f>'Data Sheet'!B57</f>
        <v>95.92</v>
      </c>
      <c r="C4" s="19">
        <f>'Data Sheet'!C57</f>
        <v>95.92</v>
      </c>
      <c r="D4" s="19">
        <f>'Data Sheet'!D57</f>
        <v>95.92</v>
      </c>
      <c r="E4" s="19">
        <f>'Data Sheet'!E57</f>
        <v>95.92</v>
      </c>
      <c r="F4" s="19">
        <f>'Data Sheet'!F57</f>
        <v>95.92</v>
      </c>
      <c r="G4" s="19">
        <f>'Data Sheet'!G57</f>
        <v>95.92</v>
      </c>
      <c r="H4" s="19">
        <f>'Data Sheet'!H57</f>
        <v>95.92</v>
      </c>
      <c r="I4" s="19">
        <f>'Data Sheet'!I57</f>
        <v>95.92</v>
      </c>
      <c r="J4" s="19">
        <f>'Data Sheet'!J57</f>
        <v>95.92</v>
      </c>
      <c r="K4" s="19">
        <f>'Data Sheet'!K57</f>
        <v>95.92</v>
      </c>
    </row>
    <row r="5" spans="1:11" s="6" customFormat="1" x14ac:dyDescent="0.2">
      <c r="A5" s="6" t="s">
        <v>25</v>
      </c>
      <c r="B5" s="19">
        <f>'Data Sheet'!B58</f>
        <v>6428.9</v>
      </c>
      <c r="C5" s="19">
        <f>'Data Sheet'!C58</f>
        <v>7507.97</v>
      </c>
      <c r="D5" s="19">
        <f>'Data Sheet'!D58</f>
        <v>8314.31</v>
      </c>
      <c r="E5" s="19">
        <f>'Data Sheet'!E58</f>
        <v>9374.6299999999992</v>
      </c>
      <c r="F5" s="19">
        <f>'Data Sheet'!F58</f>
        <v>10034.24</v>
      </c>
      <c r="G5" s="19">
        <f>'Data Sheet'!G58</f>
        <v>12710.37</v>
      </c>
      <c r="H5" s="19">
        <f>'Data Sheet'!H58</f>
        <v>13715.64</v>
      </c>
      <c r="I5" s="19">
        <f>'Data Sheet'!I58</f>
        <v>15896.31</v>
      </c>
      <c r="J5" s="19">
        <f>'Data Sheet'!J58</f>
        <v>18632.38</v>
      </c>
      <c r="K5" s="19">
        <f>'Data Sheet'!K58</f>
        <v>19303.89</v>
      </c>
    </row>
    <row r="6" spans="1:11" x14ac:dyDescent="0.2">
      <c r="A6" s="11" t="s">
        <v>71</v>
      </c>
      <c r="B6" s="19">
        <f>'Data Sheet'!B59</f>
        <v>323.29000000000002</v>
      </c>
      <c r="C6" s="19">
        <f>'Data Sheet'!C59</f>
        <v>560.34</v>
      </c>
      <c r="D6" s="19">
        <f>'Data Sheet'!D59</f>
        <v>533.42999999999995</v>
      </c>
      <c r="E6" s="19">
        <f>'Data Sheet'!E59</f>
        <v>1319.6</v>
      </c>
      <c r="F6" s="19">
        <f>'Data Sheet'!F59</f>
        <v>1118.5</v>
      </c>
      <c r="G6" s="19">
        <f>'Data Sheet'!G59</f>
        <v>1093.1199999999999</v>
      </c>
      <c r="H6" s="19">
        <f>'Data Sheet'!H59</f>
        <v>1586.88</v>
      </c>
      <c r="I6" s="19">
        <f>'Data Sheet'!I59</f>
        <v>1932.62</v>
      </c>
      <c r="J6" s="19">
        <f>'Data Sheet'!J59</f>
        <v>2474.38</v>
      </c>
      <c r="K6" s="19">
        <f>'Data Sheet'!K59</f>
        <v>2290.29</v>
      </c>
    </row>
    <row r="7" spans="1:11" s="6" customFormat="1" x14ac:dyDescent="0.2">
      <c r="A7" s="11" t="s">
        <v>72</v>
      </c>
      <c r="B7" s="19">
        <f>'Data Sheet'!B60</f>
        <v>3710.92</v>
      </c>
      <c r="C7" s="19">
        <f>'Data Sheet'!C60</f>
        <v>4240.96</v>
      </c>
      <c r="D7" s="19">
        <f>'Data Sheet'!D60</f>
        <v>4819.82</v>
      </c>
      <c r="E7" s="19">
        <f>'Data Sheet'!E60</f>
        <v>5458.69</v>
      </c>
      <c r="F7" s="19">
        <f>'Data Sheet'!F60</f>
        <v>4889.3100000000004</v>
      </c>
      <c r="G7" s="19">
        <f>'Data Sheet'!G60</f>
        <v>6455.93</v>
      </c>
      <c r="H7" s="19">
        <f>'Data Sheet'!H60</f>
        <v>7559.99</v>
      </c>
      <c r="I7" s="19">
        <f>'Data Sheet'!I60</f>
        <v>7854.48</v>
      </c>
      <c r="J7" s="19">
        <f>'Data Sheet'!J60</f>
        <v>8698.09</v>
      </c>
      <c r="K7" s="19">
        <f>'Data Sheet'!K60</f>
        <v>8665.15</v>
      </c>
    </row>
    <row r="8" spans="1:11" s="8" customFormat="1" x14ac:dyDescent="0.2">
      <c r="A8" s="8" t="s">
        <v>26</v>
      </c>
      <c r="B8" s="20">
        <f>'Data Sheet'!B61</f>
        <v>10559.03</v>
      </c>
      <c r="C8" s="20">
        <f>'Data Sheet'!C61</f>
        <v>12405.19</v>
      </c>
      <c r="D8" s="20">
        <f>'Data Sheet'!D61</f>
        <v>13763.48</v>
      </c>
      <c r="E8" s="20">
        <f>'Data Sheet'!E61</f>
        <v>16248.84</v>
      </c>
      <c r="F8" s="20">
        <f>'Data Sheet'!F61</f>
        <v>16137.97</v>
      </c>
      <c r="G8" s="20">
        <f>'Data Sheet'!G61</f>
        <v>20355.34</v>
      </c>
      <c r="H8" s="20">
        <f>'Data Sheet'!H61</f>
        <v>22958.43</v>
      </c>
      <c r="I8" s="20">
        <f>'Data Sheet'!I61</f>
        <v>25779.33</v>
      </c>
      <c r="J8" s="20">
        <f>'Data Sheet'!J61</f>
        <v>29900.77</v>
      </c>
      <c r="K8" s="20">
        <f>'Data Sheet'!K61</f>
        <v>30355.25</v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  <v>3416.35</v>
      </c>
      <c r="C10" s="19">
        <f>'Data Sheet'!C62</f>
        <v>3303.74</v>
      </c>
      <c r="D10" s="19">
        <f>'Data Sheet'!D62</f>
        <v>3732.24</v>
      </c>
      <c r="E10" s="19">
        <f>'Data Sheet'!E62</f>
        <v>6496.56</v>
      </c>
      <c r="F10" s="19">
        <f>'Data Sheet'!F62</f>
        <v>6272.31</v>
      </c>
      <c r="G10" s="19">
        <f>'Data Sheet'!G62</f>
        <v>5858.52</v>
      </c>
      <c r="H10" s="19">
        <f>'Data Sheet'!H62</f>
        <v>5519.06</v>
      </c>
      <c r="I10" s="19">
        <f>'Data Sheet'!I62</f>
        <v>5770.46</v>
      </c>
      <c r="J10" s="19">
        <f>'Data Sheet'!J62</f>
        <v>7146.62</v>
      </c>
      <c r="K10" s="19">
        <f>'Data Sheet'!K62</f>
        <v>9220.1</v>
      </c>
    </row>
    <row r="11" spans="1:11" x14ac:dyDescent="0.2">
      <c r="A11" s="6" t="s">
        <v>28</v>
      </c>
      <c r="B11" s="19">
        <f>'Data Sheet'!B63</f>
        <v>106.59</v>
      </c>
      <c r="C11" s="19">
        <f>'Data Sheet'!C63</f>
        <v>257.54000000000002</v>
      </c>
      <c r="D11" s="19">
        <f>'Data Sheet'!D63</f>
        <v>1405.11</v>
      </c>
      <c r="E11" s="19">
        <f>'Data Sheet'!E63</f>
        <v>209.67</v>
      </c>
      <c r="F11" s="19">
        <f>'Data Sheet'!F63</f>
        <v>140.24</v>
      </c>
      <c r="G11" s="19">
        <f>'Data Sheet'!G63</f>
        <v>182.98</v>
      </c>
      <c r="H11" s="19">
        <f>'Data Sheet'!H63</f>
        <v>426.43</v>
      </c>
      <c r="I11" s="19">
        <f>'Data Sheet'!I63</f>
        <v>1019.59</v>
      </c>
      <c r="J11" s="19">
        <f>'Data Sheet'!J63</f>
        <v>2698.37</v>
      </c>
      <c r="K11" s="19">
        <f>'Data Sheet'!K63</f>
        <v>1254.49</v>
      </c>
    </row>
    <row r="12" spans="1:11" x14ac:dyDescent="0.2">
      <c r="A12" s="6" t="s">
        <v>29</v>
      </c>
      <c r="B12" s="19">
        <f>'Data Sheet'!B64</f>
        <v>2712.13</v>
      </c>
      <c r="C12" s="19">
        <f>'Data Sheet'!C64</f>
        <v>2651.99</v>
      </c>
      <c r="D12" s="19">
        <f>'Data Sheet'!D64</f>
        <v>2140.6999999999998</v>
      </c>
      <c r="E12" s="19">
        <f>'Data Sheet'!E64</f>
        <v>2568.58</v>
      </c>
      <c r="F12" s="19">
        <f>'Data Sheet'!F64</f>
        <v>2018.85</v>
      </c>
      <c r="G12" s="19">
        <f>'Data Sheet'!G64</f>
        <v>4736.8</v>
      </c>
      <c r="H12" s="19">
        <f>'Data Sheet'!H64</f>
        <v>3247.53</v>
      </c>
      <c r="I12" s="19">
        <f>'Data Sheet'!I64</f>
        <v>4261.71</v>
      </c>
      <c r="J12" s="19">
        <f>'Data Sheet'!J64</f>
        <v>4587.92</v>
      </c>
      <c r="K12" s="19">
        <f>'Data Sheet'!K64</f>
        <v>4724.75</v>
      </c>
    </row>
    <row r="13" spans="1:11" x14ac:dyDescent="0.2">
      <c r="A13" s="11" t="s">
        <v>73</v>
      </c>
      <c r="B13" s="19">
        <f>'Data Sheet'!B65</f>
        <v>4323.96</v>
      </c>
      <c r="C13" s="19">
        <f>'Data Sheet'!C65</f>
        <v>6191.92</v>
      </c>
      <c r="D13" s="19">
        <f>'Data Sheet'!D65</f>
        <v>6485.43</v>
      </c>
      <c r="E13" s="19">
        <f>'Data Sheet'!E65</f>
        <v>6974.03</v>
      </c>
      <c r="F13" s="19">
        <f>'Data Sheet'!F65</f>
        <v>7706.57</v>
      </c>
      <c r="G13" s="19">
        <f>'Data Sheet'!G65</f>
        <v>9577.0400000000009</v>
      </c>
      <c r="H13" s="19">
        <f>'Data Sheet'!H65</f>
        <v>13765.41</v>
      </c>
      <c r="I13" s="19">
        <f>'Data Sheet'!I65</f>
        <v>14727.57</v>
      </c>
      <c r="J13" s="19">
        <f>'Data Sheet'!J65</f>
        <v>15467.86</v>
      </c>
      <c r="K13" s="19">
        <f>'Data Sheet'!K65</f>
        <v>15155.91</v>
      </c>
    </row>
    <row r="14" spans="1:11" s="8" customFormat="1" x14ac:dyDescent="0.2">
      <c r="A14" s="8" t="s">
        <v>26</v>
      </c>
      <c r="B14" s="19">
        <f>'Data Sheet'!B66</f>
        <v>10559.03</v>
      </c>
      <c r="C14" s="19">
        <f>'Data Sheet'!C66</f>
        <v>12405.19</v>
      </c>
      <c r="D14" s="19">
        <f>'Data Sheet'!D66</f>
        <v>13763.48</v>
      </c>
      <c r="E14" s="19">
        <f>'Data Sheet'!E66</f>
        <v>16248.84</v>
      </c>
      <c r="F14" s="19">
        <f>'Data Sheet'!F66</f>
        <v>16137.97</v>
      </c>
      <c r="G14" s="19">
        <f>'Data Sheet'!G66</f>
        <v>20355.34</v>
      </c>
      <c r="H14" s="19">
        <f>'Data Sheet'!H66</f>
        <v>22958.43</v>
      </c>
      <c r="I14" s="19">
        <f>'Data Sheet'!I66</f>
        <v>25779.33</v>
      </c>
      <c r="J14" s="19">
        <f>'Data Sheet'!J66</f>
        <v>29900.77</v>
      </c>
      <c r="K14" s="19">
        <f>'Data Sheet'!K66</f>
        <v>30355.25</v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  <v>613.04</v>
      </c>
      <c r="C16" s="21">
        <f t="shared" ref="C16:K16" si="0">C13-C7</f>
        <v>1950.96</v>
      </c>
      <c r="D16" s="21">
        <f t="shared" si="0"/>
        <v>1665.6100000000006</v>
      </c>
      <c r="E16" s="21">
        <f t="shared" si="0"/>
        <v>1515.3400000000001</v>
      </c>
      <c r="F16" s="21">
        <f t="shared" si="0"/>
        <v>2817.2599999999993</v>
      </c>
      <c r="G16" s="21">
        <f t="shared" si="0"/>
        <v>3121.1100000000006</v>
      </c>
      <c r="H16" s="21">
        <f t="shared" si="0"/>
        <v>6205.42</v>
      </c>
      <c r="I16" s="21">
        <f t="shared" si="0"/>
        <v>6873.09</v>
      </c>
      <c r="J16" s="21">
        <f t="shared" si="0"/>
        <v>6769.77</v>
      </c>
      <c r="K16" s="21">
        <f t="shared" si="0"/>
        <v>6490.76</v>
      </c>
    </row>
    <row r="17" spans="1:11" x14ac:dyDescent="0.2">
      <c r="A17" s="11" t="s">
        <v>44</v>
      </c>
      <c r="B17" s="21">
        <f>'Data Sheet'!B67</f>
        <v>1186.8399999999999</v>
      </c>
      <c r="C17" s="21">
        <f>'Data Sheet'!C67</f>
        <v>1446.6</v>
      </c>
      <c r="D17" s="21">
        <f>'Data Sheet'!D67</f>
        <v>1730.63</v>
      </c>
      <c r="E17" s="21">
        <f>'Data Sheet'!E67</f>
        <v>1907.33</v>
      </c>
      <c r="F17" s="21">
        <f>'Data Sheet'!F67</f>
        <v>1795.22</v>
      </c>
      <c r="G17" s="21">
        <f>'Data Sheet'!G67</f>
        <v>2602.17</v>
      </c>
      <c r="H17" s="21">
        <f>'Data Sheet'!H67</f>
        <v>3871.44</v>
      </c>
      <c r="I17" s="21">
        <f>'Data Sheet'!I67</f>
        <v>4636.9399999999996</v>
      </c>
      <c r="J17" s="21">
        <f>'Data Sheet'!J67</f>
        <v>4889.05</v>
      </c>
      <c r="K17" s="21">
        <f>'Data Sheet'!K67</f>
        <v>4313.6499999999996</v>
      </c>
    </row>
    <row r="18" spans="1:11" x14ac:dyDescent="0.2">
      <c r="A18" s="11" t="s">
        <v>45</v>
      </c>
      <c r="B18" s="21">
        <f>'Data Sheet'!B68</f>
        <v>1998.24</v>
      </c>
      <c r="C18" s="21">
        <f>'Data Sheet'!C68</f>
        <v>2626.94</v>
      </c>
      <c r="D18" s="21">
        <f>'Data Sheet'!D68</f>
        <v>2658.31</v>
      </c>
      <c r="E18" s="21">
        <f>'Data Sheet'!E68</f>
        <v>3149.86</v>
      </c>
      <c r="F18" s="21">
        <f>'Data Sheet'!F68</f>
        <v>3389.81</v>
      </c>
      <c r="G18" s="21">
        <f>'Data Sheet'!G68</f>
        <v>3798.6</v>
      </c>
      <c r="H18" s="21">
        <f>'Data Sheet'!H68</f>
        <v>6152.98</v>
      </c>
      <c r="I18" s="21">
        <f>'Data Sheet'!I68</f>
        <v>6210.64</v>
      </c>
      <c r="J18" s="21">
        <f>'Data Sheet'!J68</f>
        <v>5923.41</v>
      </c>
      <c r="K18" s="21">
        <f>'Data Sheet'!K68</f>
        <v>6719.27</v>
      </c>
    </row>
    <row r="20" spans="1:11" x14ac:dyDescent="0.2">
      <c r="A20" s="11" t="s">
        <v>46</v>
      </c>
      <c r="B20" s="5">
        <f>IF('Profit &amp; Loss'!B4&gt;0,'Balance Sheet'!B17/('Profit &amp; Loss'!B4/365),0)</f>
        <v>30.353985463325831</v>
      </c>
      <c r="C20" s="5">
        <f>IF('Profit &amp; Loss'!C4&gt;0,'Balance Sheet'!C17/('Profit &amp; Loss'!C4/365),0)</f>
        <v>35.05572636816251</v>
      </c>
      <c r="D20" s="5">
        <f>IF('Profit &amp; Loss'!D4&gt;0,'Balance Sheet'!D17/('Profit &amp; Loss'!D4/365),0)</f>
        <v>37.545131964896541</v>
      </c>
      <c r="E20" s="5">
        <f>IF('Profit &amp; Loss'!E4&gt;0,'Balance Sheet'!E17/('Profit &amp; Loss'!E4/365),0)</f>
        <v>36.18351071432469</v>
      </c>
      <c r="F20" s="5">
        <f>IF('Profit &amp; Loss'!F4&gt;0,'Balance Sheet'!F17/('Profit &amp; Loss'!F4/365),0)</f>
        <v>32.420325313872226</v>
      </c>
      <c r="G20" s="5">
        <f>IF('Profit &amp; Loss'!G4&gt;0,'Balance Sheet'!G17/('Profit &amp; Loss'!G4/365),0)</f>
        <v>43.743436472235949</v>
      </c>
      <c r="H20" s="5">
        <f>IF('Profit &amp; Loss'!H4&gt;0,'Balance Sheet'!H17/('Profit &amp; Loss'!H4/365),0)</f>
        <v>48.557163121347244</v>
      </c>
      <c r="I20" s="5">
        <f>IF('Profit &amp; Loss'!I4&gt;0,'Balance Sheet'!I17/('Profit &amp; Loss'!I4/365),0)</f>
        <v>49.073711044725222</v>
      </c>
      <c r="J20" s="5">
        <f>IF('Profit &amp; Loss'!J4&gt;0,'Balance Sheet'!J17/('Profit &amp; Loss'!J4/365),0)</f>
        <v>50.275160566089667</v>
      </c>
      <c r="K20" s="5">
        <f>IF('Profit &amp; Loss'!K4&gt;0,'Balance Sheet'!K17/('Profit &amp; Loss'!K4/365),0)</f>
        <v>46.437205690384069</v>
      </c>
    </row>
    <row r="21" spans="1:11" x14ac:dyDescent="0.2">
      <c r="A21" s="11" t="s">
        <v>47</v>
      </c>
      <c r="B21" s="5">
        <f>IF('Balance Sheet'!B18&gt;0,'Profit &amp; Loss'!B4/'Balance Sheet'!B18,0)</f>
        <v>7.142029986388021</v>
      </c>
      <c r="C21" s="5">
        <f>IF('Balance Sheet'!C18&gt;0,'Profit &amp; Loss'!C4/'Balance Sheet'!C18,0)</f>
        <v>5.7336635020213631</v>
      </c>
      <c r="D21" s="5">
        <f>IF('Balance Sheet'!D18&gt;0,'Profit &amp; Loss'!D4/'Balance Sheet'!D18,0)</f>
        <v>6.3290398787199385</v>
      </c>
      <c r="E21" s="5">
        <f>IF('Balance Sheet'!E18&gt;0,'Profit &amp; Loss'!E4/'Balance Sheet'!E18,0)</f>
        <v>6.1082492555224679</v>
      </c>
      <c r="F21" s="5">
        <f>IF('Balance Sheet'!F18&gt;0,'Profit &amp; Loss'!F4/'Balance Sheet'!F18,0)</f>
        <v>5.9623548222466747</v>
      </c>
      <c r="G21" s="5">
        <f>IF('Balance Sheet'!G18&gt;0,'Profit &amp; Loss'!G4/'Balance Sheet'!G18,0)</f>
        <v>5.7159979992628864</v>
      </c>
      <c r="H21" s="5">
        <f>IF('Balance Sheet'!H18&gt;0,'Profit &amp; Loss'!H4/'Balance Sheet'!H18,0)</f>
        <v>4.7296236945350056</v>
      </c>
      <c r="I21" s="5">
        <f>IF('Balance Sheet'!I18&gt;0,'Profit &amp; Loss'!I4/'Balance Sheet'!I18,0)</f>
        <v>5.5531458915667296</v>
      </c>
      <c r="J21" s="5">
        <f>IF('Balance Sheet'!J18&gt;0,'Profit &amp; Loss'!J4/'Balance Sheet'!J18,0)</f>
        <v>5.9922797847861293</v>
      </c>
      <c r="K21" s="5">
        <f>IF('Balance Sheet'!K18&gt;0,'Profit &amp; Loss'!K4/'Balance Sheet'!K18,0)</f>
        <v>5.0460273214203326</v>
      </c>
    </row>
    <row r="23" spans="1:11" s="8" customFormat="1" x14ac:dyDescent="0.2">
      <c r="A23" s="8" t="s">
        <v>59</v>
      </c>
      <c r="B23" s="14">
        <f>IF(SUM('Balance Sheet'!B4:B5)&gt;0,'Profit &amp; Loss'!B12/SUM('Balance Sheet'!B4:B5),"")</f>
        <v>0.26746484960504657</v>
      </c>
      <c r="C23" s="14">
        <f>IF(SUM('Balance Sheet'!C4:C5)&gt;0,'Profit &amp; Loss'!C12/SUM('Balance Sheet'!C4:C5),"")</f>
        <v>0.25505760867135113</v>
      </c>
      <c r="D23" s="14">
        <f>IF(SUM('Balance Sheet'!D4:D5)&gt;0,'Profit &amp; Loss'!D12/SUM('Balance Sheet'!D4:D5),"")</f>
        <v>0.24243451130349589</v>
      </c>
      <c r="E23" s="14">
        <f>IF(SUM('Balance Sheet'!E4:E5)&gt;0,'Profit &amp; Loss'!E12/SUM('Balance Sheet'!E4:E5),"")</f>
        <v>0.22764464577030905</v>
      </c>
      <c r="F23" s="14">
        <f>IF(SUM('Balance Sheet'!F4:F5)&gt;0,'Profit &amp; Loss'!F12/SUM('Balance Sheet'!F4:F5),"")</f>
        <v>0.26704119184692049</v>
      </c>
      <c r="G23" s="14">
        <f>IF(SUM('Balance Sheet'!G4:G5)&gt;0,'Profit &amp; Loss'!G12/SUM('Balance Sheet'!G4:G5),"")</f>
        <v>0.24513656960759125</v>
      </c>
      <c r="H23" s="14">
        <f>IF(SUM('Balance Sheet'!H4:H5)&gt;0,'Profit &amp; Loss'!H12/SUM('Balance Sheet'!H4:H5),"")</f>
        <v>0.21942271546443706</v>
      </c>
      <c r="I23" s="14">
        <f>IF(SUM('Balance Sheet'!I4:I5)&gt;0,'Profit &amp; Loss'!I12/SUM('Balance Sheet'!I4:I5),"")</f>
        <v>0.25677782273016331</v>
      </c>
      <c r="J23" s="14">
        <f>IF(SUM('Balance Sheet'!J4:J5)&gt;0,'Profit &amp; Loss'!J12/SUM('Balance Sheet'!J4:J5),"")</f>
        <v>0.29154968683756666</v>
      </c>
      <c r="K23" s="14">
        <f>IF(SUM('Balance Sheet'!K4:K5)&gt;0,'Profit &amp; Loss'!K12/SUM('Balance Sheet'!K4:K5),"")</f>
        <v>0.18903432559391048</v>
      </c>
    </row>
    <row r="24" spans="1:11" s="8" customFormat="1" x14ac:dyDescent="0.2">
      <c r="A24" s="8" t="s">
        <v>60</v>
      </c>
      <c r="B24" s="14"/>
      <c r="C24" s="14">
        <f>IF((B4+B5+B6+C4+C5+C6)&gt;0,('Profit &amp; Loss'!C10+'Profit &amp; Loss'!C9)*2/(B4+B5+B6+C4+C5+C6),"")</f>
        <v>0.3992542135336663</v>
      </c>
      <c r="D24" s="14">
        <f>IF((C4+C5+C6+D4+D5+D6)&gt;0,('Profit &amp; Loss'!D10+'Profit &amp; Loss'!D9)*2/(C4+C5+C6+D4+D5+D6),"")</f>
        <v>0.37175244872395136</v>
      </c>
      <c r="E24" s="14">
        <f>IF((D4+D5+D6+E4+E5+E6)&gt;0,('Profit &amp; Loss'!E10+'Profit &amp; Loss'!E9)*2/(D4+D5+D6+E4+E5+E6),"")</f>
        <v>0.34626562230000191</v>
      </c>
      <c r="F24" s="14">
        <f>IF((E4+E5+E6+F4+F5+F6)&gt;0,('Profit &amp; Loss'!F10+'Profit &amp; Loss'!F9)*2/(E4+E5+E6+F4+F5+F6),"")</f>
        <v>0.33861810143106641</v>
      </c>
      <c r="G24" s="14">
        <f>IF((F4+F5+F6+G4+G5+G6)&gt;0,('Profit &amp; Loss'!G10+'Profit &amp; Loss'!G9)*2/(F4+F5+F6+G4+G5+G6),"")</f>
        <v>0.34960774325823019</v>
      </c>
      <c r="H24" s="14">
        <f>IF((G4+G5+G6+H4+H5+H6)&gt;0,('Profit &amp; Loss'!H10+'Profit &amp; Loss'!H9)*2/(G4+G5+G6+H4+H5+H6),"")</f>
        <v>0.29238527741796749</v>
      </c>
      <c r="I24" s="14">
        <f>IF((H4+H5+H6+I4+I5+I6)&gt;0,('Profit &amp; Loss'!I10+'Profit &amp; Loss'!I9)*2/(H4+H5+H6+I4+I5+I6),"")</f>
        <v>0.35010228581871716</v>
      </c>
      <c r="J24" s="14">
        <f>IF((I4+I5+I6+J4+J5+J6)&gt;0,('Profit &amp; Loss'!J10+'Profit &amp; Loss'!J9)*2/(I4+I5+I6+J4+J5+J6),"")</f>
        <v>0.38606781465633033</v>
      </c>
      <c r="K24" s="14">
        <f>IF((J4+J5+J6+K4+K5+K6)&gt;0,('Profit &amp; Loss'!K10+'Profit &amp; Loss'!K9)*2/(J4+J5+J6+K4+K5+K6),"")</f>
        <v>0.24853087162921128</v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bottomLeft" activeCell="A4" sqref="A4"/>
      <selection pane="topRight" activeCell="B1" sqref="B1"/>
      <selection pane="bottomRight" activeCell="K5" sqref="K5"/>
    </sheetView>
  </sheetViews>
  <sheetFormatPr defaultColWidth="8.875" defaultRowHeight="15" x14ac:dyDescent="0.2"/>
  <cols>
    <col min="1" max="1" width="26.76953125" style="6" bestFit="1" customWidth="1"/>
    <col min="2" max="6" width="13.44921875" style="6" customWidth="1"/>
    <col min="7" max="11" width="13.44921875" style="6" bestFit="1" customWidth="1"/>
    <col min="12" max="16384" width="8.875" style="6"/>
  </cols>
  <sheetData>
    <row r="1" spans="1:11" s="8" customFormat="1" x14ac:dyDescent="0.2">
      <c r="A1" s="8" t="str">
        <f>'Balance Sheet'!A1</f>
        <v>ASIAN PAINTS LTD</v>
      </c>
      <c r="E1" t="str">
        <f>UPDATE</f>
        <v/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 x14ac:dyDescent="0.2">
      <c r="A4" s="8" t="s">
        <v>32</v>
      </c>
      <c r="B4" s="1">
        <f>'Data Sheet'!B82</f>
        <v>2242.9499999999998</v>
      </c>
      <c r="C4" s="1">
        <f>'Data Sheet'!C82</f>
        <v>1527.33</v>
      </c>
      <c r="D4" s="1">
        <f>'Data Sheet'!D82</f>
        <v>2113.44</v>
      </c>
      <c r="E4" s="1">
        <f>'Data Sheet'!E82</f>
        <v>2469.54</v>
      </c>
      <c r="F4" s="1">
        <f>'Data Sheet'!F82</f>
        <v>3038.15</v>
      </c>
      <c r="G4" s="1">
        <f>'Data Sheet'!G82</f>
        <v>3683.35</v>
      </c>
      <c r="H4" s="1">
        <f>'Data Sheet'!H82</f>
        <v>986.49</v>
      </c>
      <c r="I4" s="1">
        <f>'Data Sheet'!I82</f>
        <v>4193.43</v>
      </c>
      <c r="J4" s="1">
        <f>'Data Sheet'!J82</f>
        <v>6103.6</v>
      </c>
      <c r="K4" s="1">
        <f>'Data Sheet'!K82</f>
        <v>4423.96</v>
      </c>
    </row>
    <row r="5" spans="1:11" x14ac:dyDescent="0.2">
      <c r="A5" s="6" t="s">
        <v>33</v>
      </c>
      <c r="B5" s="9">
        <f>'Data Sheet'!B83</f>
        <v>-866.21</v>
      </c>
      <c r="C5" s="9">
        <f>'Data Sheet'!C83</f>
        <v>-681.11</v>
      </c>
      <c r="D5" s="9">
        <f>'Data Sheet'!D83</f>
        <v>-1556.14</v>
      </c>
      <c r="E5" s="9">
        <f>'Data Sheet'!E83</f>
        <v>-917.79</v>
      </c>
      <c r="F5" s="9">
        <f>'Data Sheet'!F83</f>
        <v>-517.91</v>
      </c>
      <c r="G5" s="9">
        <f>'Data Sheet'!G83</f>
        <v>-540.54</v>
      </c>
      <c r="H5" s="9">
        <f>'Data Sheet'!H83</f>
        <v>-316.75</v>
      </c>
      <c r="I5" s="9">
        <f>'Data Sheet'!I83</f>
        <v>-1282.3399999999999</v>
      </c>
      <c r="J5" s="9">
        <f>'Data Sheet'!J83</f>
        <v>-2548.48</v>
      </c>
      <c r="K5" s="9">
        <f>'Data Sheet'!K83</f>
        <v>-940.91</v>
      </c>
    </row>
    <row r="6" spans="1:11" x14ac:dyDescent="0.2">
      <c r="A6" s="6" t="s">
        <v>34</v>
      </c>
      <c r="B6" s="9">
        <f>'Data Sheet'!B84</f>
        <v>-848.98</v>
      </c>
      <c r="C6" s="9">
        <f>'Data Sheet'!C84</f>
        <v>-756.43</v>
      </c>
      <c r="D6" s="9">
        <f>'Data Sheet'!D84</f>
        <v>-1379.14</v>
      </c>
      <c r="E6" s="9">
        <f>'Data Sheet'!E84</f>
        <v>-1117.46</v>
      </c>
      <c r="F6" s="9">
        <f>'Data Sheet'!F84</f>
        <v>-2871.46</v>
      </c>
      <c r="G6" s="9">
        <f>'Data Sheet'!G84</f>
        <v>-650.4</v>
      </c>
      <c r="H6" s="9">
        <f>'Data Sheet'!H84</f>
        <v>-1807.61</v>
      </c>
      <c r="I6" s="9">
        <f>'Data Sheet'!I84</f>
        <v>-2140.0500000000002</v>
      </c>
      <c r="J6" s="9">
        <f>'Data Sheet'!J84</f>
        <v>-2982.5</v>
      </c>
      <c r="K6" s="9">
        <f>'Data Sheet'!K84</f>
        <v>-3752.58</v>
      </c>
    </row>
    <row r="7" spans="1:11" s="8" customFormat="1" x14ac:dyDescent="0.2">
      <c r="A7" s="8" t="s">
        <v>35</v>
      </c>
      <c r="B7" s="1">
        <f>'Data Sheet'!B85</f>
        <v>527.76</v>
      </c>
      <c r="C7" s="1">
        <f>'Data Sheet'!C85</f>
        <v>89.79</v>
      </c>
      <c r="D7" s="1">
        <f>'Data Sheet'!D85</f>
        <v>-821.84</v>
      </c>
      <c r="E7" s="1">
        <f>'Data Sheet'!E85</f>
        <v>434.29</v>
      </c>
      <c r="F7" s="1">
        <f>'Data Sheet'!F85</f>
        <v>-351.22</v>
      </c>
      <c r="G7" s="1">
        <f>'Data Sheet'!G85</f>
        <v>2492.41</v>
      </c>
      <c r="H7" s="1">
        <f>'Data Sheet'!H85</f>
        <v>-1137.8699999999999</v>
      </c>
      <c r="I7" s="1">
        <f>'Data Sheet'!I85</f>
        <v>771.04</v>
      </c>
      <c r="J7" s="1">
        <f>'Data Sheet'!J85</f>
        <v>572.62</v>
      </c>
      <c r="K7" s="1">
        <f>'Data Sheet'!K85</f>
        <v>-269.52999999999997</v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75" defaultRowHeight="15" x14ac:dyDescent="0.2"/>
  <cols>
    <col min="1" max="1" width="8.875" style="8"/>
    <col min="2" max="2" width="10.4921875" style="11" customWidth="1"/>
    <col min="3" max="3" width="13.31640625" style="26" customWidth="1"/>
    <col min="4" max="5" width="8.875" style="11"/>
    <col min="6" max="6" width="6.859375" style="11" customWidth="1"/>
    <col min="7" max="16384" width="8.875" style="11"/>
  </cols>
  <sheetData>
    <row r="1" spans="1:7" ht="21" x14ac:dyDescent="0.3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bottomLeft" activeCell="C4" sqref="C4"/>
      <selection pane="topRight" activeCell="C4" sqref="C4"/>
      <selection pane="bottomRight" activeCell="A51" sqref="A51"/>
    </sheetView>
  </sheetViews>
  <sheetFormatPr defaultColWidth="8.875" defaultRowHeight="15" x14ac:dyDescent="0.2"/>
  <cols>
    <col min="1" max="1" width="27.7109375" style="5" bestFit="1" customWidth="1"/>
    <col min="2" max="11" width="13.44921875" style="5" bestFit="1" customWidth="1"/>
    <col min="12" max="16384" width="8.87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  <v/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  <v>95.919768151311771</v>
      </c>
    </row>
    <row r="7" spans="1:11" x14ac:dyDescent="0.2">
      <c r="A7" s="5" t="s">
        <v>31</v>
      </c>
      <c r="B7">
        <v>1</v>
      </c>
    </row>
    <row r="8" spans="1:11" x14ac:dyDescent="0.2">
      <c r="A8" s="5" t="s">
        <v>43</v>
      </c>
      <c r="B8">
        <v>2458.5</v>
      </c>
    </row>
    <row r="9" spans="1:11" x14ac:dyDescent="0.2">
      <c r="A9" s="5" t="s">
        <v>79</v>
      </c>
      <c r="B9">
        <v>235818.75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 x14ac:dyDescent="0.2">
      <c r="A17" s="9" t="s">
        <v>6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9" customFormat="1" x14ac:dyDescent="0.2">
      <c r="A18" s="5" t="s">
        <v>80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9" customFormat="1" x14ac:dyDescent="0.2">
      <c r="A19" s="5" t="s">
        <v>81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9" customFormat="1" x14ac:dyDescent="0.2">
      <c r="A20" s="5" t="s">
        <v>82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9" customFormat="1" x14ac:dyDescent="0.2">
      <c r="A21" s="5" t="s">
        <v>83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9" customFormat="1" x14ac:dyDescent="0.2">
      <c r="A22" s="5" t="s">
        <v>84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9" customFormat="1" x14ac:dyDescent="0.2">
      <c r="A23" s="5" t="s">
        <v>85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9" customFormat="1" x14ac:dyDescent="0.2">
      <c r="A24" s="5" t="s">
        <v>86</v>
      </c>
      <c r="B24">
        <v>-1779.69</v>
      </c>
      <c r="C24">
        <v>-2028.47</v>
      </c>
      <c r="D24">
        <v>171.45</v>
      </c>
      <c r="E24">
        <v>202.51</v>
      </c>
      <c r="F24">
        <v>584.9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9" customFormat="1" x14ac:dyDescent="0.2">
      <c r="A25" s="9" t="s">
        <v>9</v>
      </c>
      <c r="B25">
        <v>213.39</v>
      </c>
      <c r="C25">
        <v>337.9</v>
      </c>
      <c r="D25">
        <v>336.41</v>
      </c>
      <c r="E25">
        <v>273.77</v>
      </c>
      <c r="F25">
        <v>355.05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9" customFormat="1" x14ac:dyDescent="0.2">
      <c r="A26" s="9" t="s">
        <v>10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9" customFormat="1" x14ac:dyDescent="0.2">
      <c r="A27" s="9" t="s">
        <v>11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9" customFormat="1" x14ac:dyDescent="0.2">
      <c r="A28" s="9" t="s">
        <v>12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9" customFormat="1" x14ac:dyDescent="0.2">
      <c r="A29" s="9" t="s">
        <v>13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9" customFormat="1" x14ac:dyDescent="0.2">
      <c r="A30" s="9" t="s">
        <v>14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9" customFormat="1" x14ac:dyDescent="0.2">
      <c r="A31" s="9" t="s">
        <v>70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45016</v>
      </c>
      <c r="C41" s="16">
        <v>45107</v>
      </c>
      <c r="D41" s="16">
        <v>45199</v>
      </c>
      <c r="E41" s="16">
        <v>45291</v>
      </c>
      <c r="F41" s="16">
        <v>45382</v>
      </c>
      <c r="G41" s="16">
        <v>45473</v>
      </c>
      <c r="H41" s="16">
        <v>45565</v>
      </c>
      <c r="I41" s="16">
        <v>45657</v>
      </c>
      <c r="J41" s="16">
        <v>45747</v>
      </c>
      <c r="K41" s="16">
        <v>45838</v>
      </c>
    </row>
    <row r="42" spans="1:11" s="9" customFormat="1" x14ac:dyDescent="0.2">
      <c r="A42" s="9" t="s">
        <v>6</v>
      </c>
      <c r="B42">
        <v>8787.34</v>
      </c>
      <c r="C42">
        <v>9182.31</v>
      </c>
      <c r="D42">
        <v>8478.57</v>
      </c>
      <c r="E42">
        <v>9103.09</v>
      </c>
      <c r="F42">
        <v>8730.76</v>
      </c>
      <c r="G42">
        <v>8969.73</v>
      </c>
      <c r="H42">
        <v>8027.54</v>
      </c>
      <c r="I42">
        <v>8549.44</v>
      </c>
      <c r="J42">
        <v>8358.91</v>
      </c>
      <c r="K42">
        <v>8938.5499999999993</v>
      </c>
    </row>
    <row r="43" spans="1:11" s="9" customFormat="1" x14ac:dyDescent="0.2">
      <c r="A43" s="9" t="s">
        <v>7</v>
      </c>
      <c r="B43">
        <v>6922.58</v>
      </c>
      <c r="C43">
        <v>7061.02</v>
      </c>
      <c r="D43">
        <v>6762.34</v>
      </c>
      <c r="E43">
        <v>7047</v>
      </c>
      <c r="F43">
        <v>7039.39</v>
      </c>
      <c r="G43">
        <v>7275.96</v>
      </c>
      <c r="H43">
        <v>6788.03</v>
      </c>
      <c r="I43">
        <v>6912.71</v>
      </c>
      <c r="J43">
        <v>6922.71</v>
      </c>
      <c r="K43">
        <v>7313.58</v>
      </c>
    </row>
    <row r="44" spans="1:11" s="9" customFormat="1" x14ac:dyDescent="0.2">
      <c r="A44" s="9" t="s">
        <v>9</v>
      </c>
      <c r="B44">
        <v>104.17</v>
      </c>
      <c r="C44">
        <v>227.74</v>
      </c>
      <c r="D44">
        <v>194.33</v>
      </c>
      <c r="E44">
        <v>186.46</v>
      </c>
      <c r="F44">
        <v>212.43</v>
      </c>
      <c r="G44">
        <v>192.93</v>
      </c>
      <c r="H44">
        <v>24.53</v>
      </c>
      <c r="I44">
        <v>192.82</v>
      </c>
      <c r="J44">
        <v>-60.06</v>
      </c>
      <c r="K44">
        <v>229.11</v>
      </c>
    </row>
    <row r="45" spans="1:11" s="9" customFormat="1" x14ac:dyDescent="0.2">
      <c r="A45" s="9" t="s">
        <v>10</v>
      </c>
      <c r="B45">
        <v>220.17</v>
      </c>
      <c r="C45">
        <v>198.32</v>
      </c>
      <c r="D45">
        <v>208.72</v>
      </c>
      <c r="E45">
        <v>220.35</v>
      </c>
      <c r="F45">
        <v>225.61</v>
      </c>
      <c r="G45">
        <v>227.7</v>
      </c>
      <c r="H45">
        <v>241.99</v>
      </c>
      <c r="I45">
        <v>255.55</v>
      </c>
      <c r="J45">
        <v>301.10000000000002</v>
      </c>
      <c r="K45">
        <v>300.87</v>
      </c>
    </row>
    <row r="46" spans="1:11" s="9" customFormat="1" x14ac:dyDescent="0.2">
      <c r="A46" s="9" t="s">
        <v>11</v>
      </c>
      <c r="B46">
        <v>38.909999999999997</v>
      </c>
      <c r="C46">
        <v>45.75</v>
      </c>
      <c r="D46">
        <v>50.9</v>
      </c>
      <c r="E46">
        <v>54.42</v>
      </c>
      <c r="F46">
        <v>54.1</v>
      </c>
      <c r="G46">
        <v>55.38</v>
      </c>
      <c r="H46">
        <v>63.01</v>
      </c>
      <c r="I46">
        <v>55.84</v>
      </c>
      <c r="J46">
        <v>52.79</v>
      </c>
      <c r="K46">
        <v>44.5</v>
      </c>
    </row>
    <row r="47" spans="1:11" s="9" customFormat="1" x14ac:dyDescent="0.2">
      <c r="A47" s="9" t="s">
        <v>12</v>
      </c>
      <c r="B47">
        <v>1709.85</v>
      </c>
      <c r="C47">
        <v>2104.96</v>
      </c>
      <c r="D47">
        <v>1650.94</v>
      </c>
      <c r="E47">
        <v>1967.78</v>
      </c>
      <c r="F47">
        <v>1624.09</v>
      </c>
      <c r="G47">
        <v>1603.62</v>
      </c>
      <c r="H47">
        <v>959.04</v>
      </c>
      <c r="I47">
        <v>1518.16</v>
      </c>
      <c r="J47">
        <v>1022.25</v>
      </c>
      <c r="K47">
        <v>1508.71</v>
      </c>
    </row>
    <row r="48" spans="1:11" s="9" customFormat="1" x14ac:dyDescent="0.2">
      <c r="A48" s="9" t="s">
        <v>13</v>
      </c>
      <c r="B48">
        <v>451.44</v>
      </c>
      <c r="C48">
        <v>530.12</v>
      </c>
      <c r="D48">
        <v>418.55</v>
      </c>
      <c r="E48">
        <v>492.62</v>
      </c>
      <c r="F48">
        <v>348.79</v>
      </c>
      <c r="G48">
        <v>416.83</v>
      </c>
      <c r="H48">
        <v>265.38</v>
      </c>
      <c r="I48">
        <v>389.73</v>
      </c>
      <c r="J48">
        <v>321.42</v>
      </c>
      <c r="K48">
        <v>391.66</v>
      </c>
    </row>
    <row r="49" spans="1:11" s="9" customFormat="1" x14ac:dyDescent="0.2">
      <c r="A49" s="9" t="s">
        <v>14</v>
      </c>
      <c r="B49">
        <v>1234.1400000000001</v>
      </c>
      <c r="C49">
        <v>1550.37</v>
      </c>
      <c r="D49">
        <v>1205.42</v>
      </c>
      <c r="E49">
        <v>1447.72</v>
      </c>
      <c r="F49">
        <v>1256.72</v>
      </c>
      <c r="G49">
        <v>1169.98</v>
      </c>
      <c r="H49">
        <v>694.64</v>
      </c>
      <c r="I49">
        <v>1110.48</v>
      </c>
      <c r="J49">
        <v>692.13</v>
      </c>
      <c r="K49">
        <v>1099.77</v>
      </c>
    </row>
    <row r="50" spans="1:11" x14ac:dyDescent="0.2">
      <c r="A50" s="9" t="s">
        <v>8</v>
      </c>
      <c r="B50">
        <v>1864.76</v>
      </c>
      <c r="C50">
        <v>2121.29</v>
      </c>
      <c r="D50">
        <v>1716.23</v>
      </c>
      <c r="E50">
        <v>2056.09</v>
      </c>
      <c r="F50">
        <v>1691.37</v>
      </c>
      <c r="G50">
        <v>1693.77</v>
      </c>
      <c r="H50">
        <v>1239.51</v>
      </c>
      <c r="I50">
        <v>1636.73</v>
      </c>
      <c r="J50">
        <v>1436.2</v>
      </c>
      <c r="K50">
        <v>1624.97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2">
      <c r="A57" s="9" t="s">
        <v>24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2">
      <c r="A58" s="9" t="s">
        <v>25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2">
      <c r="A59" s="9" t="s">
        <v>71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2">
      <c r="A60" s="9" t="s">
        <v>72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2">
      <c r="A61" s="1" t="s">
        <v>26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2">
      <c r="A62" s="9" t="s">
        <v>27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2">
      <c r="A63" s="9" t="s">
        <v>28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2">
      <c r="A64" s="9" t="s">
        <v>29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2">
      <c r="A65" s="9" t="s">
        <v>73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2">
      <c r="A66" s="1" t="s">
        <v>26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9" customFormat="1" x14ac:dyDescent="0.2">
      <c r="A67" s="9" t="s">
        <v>78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2">
      <c r="A68" s="9" t="s">
        <v>45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2">
      <c r="A69" s="5" t="s">
        <v>87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2">
      <c r="A70" s="5" t="s">
        <v>74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2">
      <c r="A71" s="5" t="s">
        <v>75</v>
      </c>
    </row>
    <row r="72" spans="1:11" x14ac:dyDescent="0.2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">
      <c r="A74" s="9"/>
    </row>
    <row r="75" spans="1:11" x14ac:dyDescent="0.2">
      <c r="A75" s="9"/>
    </row>
    <row r="76" spans="1:11" x14ac:dyDescent="0.2">
      <c r="A76" s="9"/>
    </row>
    <row r="77" spans="1:11" x14ac:dyDescent="0.2">
      <c r="A77" s="9"/>
    </row>
    <row r="78" spans="1:11" x14ac:dyDescent="0.2">
      <c r="A78" s="9"/>
    </row>
    <row r="79" spans="1:11" x14ac:dyDescent="0.2">
      <c r="A79" s="9"/>
    </row>
    <row r="80" spans="1:11" x14ac:dyDescent="0.2">
      <c r="A80" s="1" t="s">
        <v>41</v>
      </c>
    </row>
    <row r="81" spans="1:11" s="24" customFormat="1" x14ac:dyDescent="0.2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 x14ac:dyDescent="0.2">
      <c r="A82" s="9" t="s">
        <v>32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9" customFormat="1" x14ac:dyDescent="0.2">
      <c r="A83" s="9" t="s">
        <v>33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9" customFormat="1" x14ac:dyDescent="0.2">
      <c r="A84" s="9" t="s">
        <v>34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2">
      <c r="A85" s="9" t="s">
        <v>35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95.92</v>
      </c>
      <c r="C93" s="31">
        <v>95.92</v>
      </c>
      <c r="D93" s="31">
        <v>95.92</v>
      </c>
      <c r="E93" s="31">
        <v>95.92</v>
      </c>
      <c r="F93" s="31">
        <v>95.92</v>
      </c>
      <c r="G93" s="31">
        <v>95.92</v>
      </c>
      <c r="H93" s="31">
        <v>95.92</v>
      </c>
      <c r="I93" s="31">
        <v>95.92</v>
      </c>
      <c r="J93" s="31">
        <v>95.92</v>
      </c>
      <c r="K93" s="31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