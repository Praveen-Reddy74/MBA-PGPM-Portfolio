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8_{91849F6A-2183-4E4E-B988-71590EEE668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8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2" i="1"/>
  <c r="D13" i="1"/>
  <c r="E12" i="1"/>
  <c r="E13" i="1"/>
  <c r="K12" i="1"/>
  <c r="K13" i="1"/>
  <c r="C12" i="1"/>
  <c r="C13" i="1"/>
  <c r="F12" i="1"/>
  <c r="F13" i="1"/>
  <c r="G12" i="1"/>
  <c r="G13" i="1"/>
  <c r="J12" i="1"/>
  <c r="J13" i="1"/>
  <c r="B12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C5" i="2"/>
  <c r="C6" i="2"/>
  <c r="D4" i="2"/>
  <c r="D5" i="2"/>
  <c r="D6" i="2"/>
  <c r="D10" i="1"/>
  <c r="D9" i="1"/>
  <c r="D24" i="2"/>
  <c r="E4" i="2"/>
  <c r="E5" i="2"/>
  <c r="E6" i="2"/>
  <c r="E10" i="1"/>
  <c r="E9" i="1"/>
  <c r="E24" i="2"/>
  <c r="F4" i="2"/>
  <c r="F5" i="2"/>
  <c r="F6" i="2"/>
  <c r="F10" i="1"/>
  <c r="F9" i="1"/>
  <c r="F24" i="2"/>
  <c r="E23" i="2"/>
  <c r="G4" i="2"/>
  <c r="G5" i="2"/>
  <c r="G6" i="2"/>
  <c r="G10" i="1"/>
  <c r="G9" i="1"/>
  <c r="G24" i="2"/>
  <c r="H4" i="2"/>
  <c r="H5" i="2"/>
  <c r="H6" i="2"/>
  <c r="H10" i="1"/>
  <c r="H9" i="1"/>
  <c r="H24" i="2"/>
  <c r="I4" i="2"/>
  <c r="I5" i="2"/>
  <c r="I6" i="2"/>
  <c r="I10" i="1"/>
  <c r="I9" i="1"/>
  <c r="I24" i="2"/>
  <c r="J4" i="2"/>
  <c r="J5" i="2"/>
  <c r="J6" i="2"/>
  <c r="J10" i="1"/>
  <c r="J9" i="1"/>
  <c r="J24" i="2"/>
  <c r="I12" i="1"/>
  <c r="I23" i="2"/>
  <c r="K4" i="2"/>
  <c r="K5" i="2"/>
  <c r="K6" i="2"/>
  <c r="K10" i="1"/>
  <c r="K9" i="1"/>
  <c r="K24" i="2"/>
  <c r="J23" i="2"/>
  <c r="C7" i="2"/>
  <c r="D7" i="2"/>
  <c r="E7" i="2"/>
  <c r="F7" i="2"/>
  <c r="G7" i="2"/>
  <c r="G13" i="2"/>
  <c r="G16" i="2"/>
  <c r="H7" i="2"/>
  <c r="I7" i="2"/>
  <c r="I13" i="2"/>
  <c r="I16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/>
  <c r="F13" i="2"/>
  <c r="H13" i="2"/>
  <c r="J13" i="2"/>
  <c r="J16" i="2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B6" i="2"/>
  <c r="C10" i="1"/>
  <c r="C9" i="1"/>
  <c r="C2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/>
  <c r="D4" i="3"/>
  <c r="D14" i="3"/>
  <c r="E4" i="3"/>
  <c r="F4" i="3"/>
  <c r="G4" i="3"/>
  <c r="H4" i="3"/>
  <c r="I4" i="3"/>
  <c r="J4" i="3"/>
  <c r="K4" i="3"/>
  <c r="K14" i="3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L7" i="1"/>
  <c r="C8" i="3"/>
  <c r="D8" i="3"/>
  <c r="E8" i="3"/>
  <c r="F8" i="3"/>
  <c r="G8" i="3"/>
  <c r="H8" i="3"/>
  <c r="I8" i="3"/>
  <c r="J8" i="3"/>
  <c r="K8" i="3"/>
  <c r="L8" i="1"/>
  <c r="C9" i="3"/>
  <c r="D9" i="3"/>
  <c r="E9" i="3"/>
  <c r="F9" i="3"/>
  <c r="G9" i="3"/>
  <c r="H9" i="3"/>
  <c r="I9" i="3"/>
  <c r="J9" i="3"/>
  <c r="K9" i="3"/>
  <c r="L9" i="1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11" i="1"/>
  <c r="D11" i="1"/>
  <c r="E11" i="1"/>
  <c r="F11" i="1"/>
  <c r="G11" i="1"/>
  <c r="H11" i="1"/>
  <c r="I11" i="1"/>
  <c r="J11" i="1"/>
  <c r="K11" i="1"/>
  <c r="H12" i="1"/>
  <c r="C15" i="1"/>
  <c r="C14" i="1"/>
  <c r="D15" i="1"/>
  <c r="D14" i="1"/>
  <c r="E15" i="1"/>
  <c r="E14" i="1"/>
  <c r="F15" i="1"/>
  <c r="F14" i="1"/>
  <c r="G15" i="1"/>
  <c r="G14" i="1"/>
  <c r="H15" i="1"/>
  <c r="H13" i="1"/>
  <c r="H14" i="1"/>
  <c r="I15" i="1"/>
  <c r="I13" i="1"/>
  <c r="I14" i="1"/>
  <c r="J15" i="1"/>
  <c r="J14" i="1"/>
  <c r="K15" i="1"/>
  <c r="K14" i="1"/>
  <c r="L12" i="1"/>
  <c r="L13" i="1"/>
  <c r="L15" i="1"/>
  <c r="L14" i="1"/>
  <c r="K25" i="1"/>
  <c r="L25" i="1"/>
  <c r="M25" i="1"/>
  <c r="M14" i="1"/>
  <c r="K23" i="1"/>
  <c r="L4" i="1"/>
  <c r="L23" i="1"/>
  <c r="M23" i="1"/>
  <c r="M4" i="1"/>
  <c r="B15" i="1"/>
  <c r="B14" i="1"/>
  <c r="B7" i="1"/>
  <c r="B4" i="1"/>
  <c r="B20" i="2"/>
  <c r="A1" i="1"/>
  <c r="E1" i="6"/>
  <c r="H1" i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/>
  <c r="J6" i="1"/>
  <c r="J19" i="1"/>
  <c r="K6" i="1"/>
  <c r="K19" i="1"/>
  <c r="G6" i="1"/>
  <c r="G19" i="1"/>
  <c r="C6" i="1"/>
  <c r="C19" i="1"/>
  <c r="D6" i="1"/>
  <c r="D19" i="1"/>
  <c r="B6" i="1"/>
  <c r="B19" i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7" i="2"/>
  <c r="B16" i="2"/>
  <c r="B12" i="2"/>
  <c r="B11" i="2"/>
  <c r="B10" i="2"/>
  <c r="B8" i="2"/>
  <c r="B3" i="2"/>
  <c r="J14" i="3"/>
  <c r="H14" i="3"/>
  <c r="F14" i="3"/>
  <c r="B12" i="3"/>
  <c r="B11" i="3"/>
  <c r="B10" i="3"/>
  <c r="B9" i="3"/>
  <c r="B8" i="3"/>
  <c r="B7" i="3"/>
  <c r="B4" i="3"/>
  <c r="B14" i="3"/>
  <c r="B3" i="3"/>
  <c r="H23" i="1"/>
  <c r="I23" i="1"/>
  <c r="J23" i="1"/>
  <c r="N23" i="1"/>
  <c r="N4" i="1"/>
  <c r="F6" i="1"/>
  <c r="F19" i="1"/>
  <c r="H6" i="1"/>
  <c r="H19" i="1"/>
  <c r="H24" i="1"/>
  <c r="B11" i="1"/>
  <c r="B10" i="1"/>
  <c r="B9" i="1"/>
  <c r="B8" i="1"/>
  <c r="B3" i="1"/>
  <c r="E14" i="3"/>
  <c r="I14" i="3"/>
  <c r="G14" i="3"/>
  <c r="G20" i="2"/>
  <c r="K20" i="2"/>
  <c r="D20" i="2"/>
  <c r="J20" i="2"/>
  <c r="C20" i="2"/>
  <c r="E20" i="2"/>
  <c r="L11" i="1"/>
  <c r="L10" i="1"/>
  <c r="N11" i="1"/>
  <c r="L6" i="1"/>
  <c r="L19" i="1"/>
  <c r="L24" i="1"/>
  <c r="A1" i="3"/>
  <c r="A1" i="2"/>
  <c r="A1" i="4"/>
  <c r="L5" i="1"/>
  <c r="M11" i="1"/>
  <c r="J25" i="1"/>
  <c r="M9" i="1"/>
  <c r="N9" i="1"/>
  <c r="N8" i="1"/>
  <c r="M8" i="1"/>
  <c r="H25" i="1"/>
  <c r="I25" i="1"/>
  <c r="N25" i="1"/>
  <c r="N14" i="1"/>
  <c r="I20" i="2"/>
  <c r="J24" i="1"/>
  <c r="H20" i="2"/>
  <c r="E1" i="4"/>
  <c r="I24" i="1"/>
  <c r="K24" i="1"/>
  <c r="M24" i="1"/>
  <c r="M6" i="1"/>
  <c r="M10" i="1"/>
  <c r="M12" i="1"/>
  <c r="M13" i="1"/>
  <c r="M15" i="1"/>
  <c r="N24" i="1"/>
  <c r="N6" i="1"/>
  <c r="N10" i="1"/>
  <c r="N12" i="1"/>
  <c r="N13" i="1"/>
  <c r="N15" i="1"/>
  <c r="N5" i="1"/>
  <c r="M5" i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<sst xmlns="http://schemas.openxmlformats.org/spreadsheetml/2006/main" count="145" uniqueCount="93">
  <si>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</si>
  <si>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</si>
  <si>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</si>
  <si>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</si>
  <si>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</si>
  <si>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</si>
  <si>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</si>
  <si>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</si>
  <si>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</si>
  <si>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</si>
  <si>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</si>
  <si>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</si>
  <si>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</si>
  <si>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</si>
  <si>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</si>
  <si>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</si>
  <si>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</si>
  <si>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</si>
  <si>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</si>
  <si>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</si>
  <si>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</si>
  <si>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</si>
  <si>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</si>
  <si>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</si>
  <si>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</si>
  <si>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</si>
  <si>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</si>
  <si>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</si>
  <si>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</si>
  <si>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</si>
  <si>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</si>
  <si>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</si>
  <si>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</si>
  <si>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</si>
  <si>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</si>
  <si>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</si>
  <si>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</si>
  <si>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</si>
  <si>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</si>
  <si>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</si>
  <si>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</si>
  <si>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</si>
  <si>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</si>
  <si>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</si>
  <si>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</si>
  <si>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</si>
  <si>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</si>
  <si>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</si>
  <si>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</si>
  <si>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</si>
  <si>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</si>
  <si>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</si>
  <si>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</si>
  <si>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</si>
  <si>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</si>
  <si>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</si>
  <si>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</si>
  <si>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</si>
  <si>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</si>
  <si>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</si>
  <si>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</si>
  <si>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</si>
  <si>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</si>
  <si>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BLUE STAR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</si>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</sst>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43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43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43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43" fontId="0" fillId="0" borderId="0" xfId="1" applyNumberFormat="1" applyFont="1" applyBorder="1" applyAlignment="1">
      <alignment horizontal="center"/>
    </xf>
    <xf numFmtId="43" fontId="1" fillId="0" borderId="0" xfId="1" applyNumberFormat="1" applyFont="1" applyBorder="1" applyAlignment="1">
      <alignment horizontal="center"/>
    </xf>
    <xf numFmtId="43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164" fontId="0" fillId="0" borderId="0" xfId="1" applyNumberFormat="1" applyFont="1" applyBorder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 /><Relationship Id="rId2" Type="http://schemas.openxmlformats.org/officeDocument/2006/relationships/printerSettings" Target="../printerSettings/printerSettings1.bin" /><Relationship Id="rId1" Type="http://schemas.openxmlformats.org/officeDocument/2006/relationships/hyperlink" Target="http://www.screener.in/" TargetMode="External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 /><Relationship Id="rId2" Type="http://schemas.openxmlformats.org/officeDocument/2006/relationships/printerSettings" Target="../printerSettings/printerSettings2.bin" /><Relationship Id="rId1" Type="http://schemas.openxmlformats.org/officeDocument/2006/relationships/hyperlink" Target="http://www.screener.in/" TargetMode="External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 /><Relationship Id="rId1" Type="http://schemas.openxmlformats.org/officeDocument/2006/relationships/hyperlink" Target="http://www.screener.in/" TargetMode="External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 /><Relationship Id="rId1" Type="http://schemas.openxmlformats.org/officeDocument/2006/relationships/hyperlink" Target="http://www.screener.in/" TargetMode="Externa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 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 /><Relationship Id="rId1" Type="http://schemas.openxmlformats.org/officeDocument/2006/relationships/hyperlink" Target="https://www.screener.in/excel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bottomLeft" activeCell="I2" sqref="I2"/>
      <selection pane="topRight" activeCell="I2" sqref="I2"/>
      <selection pane="bottomRight" activeCell="M15" sqref="M15"/>
    </sheetView>
  </sheetViews>
  <sheetFormatPr defaultColWidth="8.875" defaultRowHeight="15" x14ac:dyDescent="0.2"/>
  <cols>
    <col min="1" max="1" width="20.71484375" style="6" customWidth="1"/>
    <col min="2" max="6" width="13.44921875" style="6" customWidth="1"/>
    <col min="7" max="7" width="14.796875" style="6" bestFit="1" customWidth="1"/>
    <col min="8" max="11" width="13.44921875" style="6" customWidth="1"/>
    <col min="12" max="12" width="13.31640625" style="6" customWidth="1"/>
    <col min="13" max="14" width="12.10546875" style="6" customWidth="1"/>
    <col min="15" max="16384" width="8.875" style="6"/>
  </cols>
  <sheetData>
    <row r="1" spans="1:14" s="8" customFormat="1" x14ac:dyDescent="0.2">
      <c r="A1" s="8" t="str">
        <f>'Data Sheet'!B1</f>
        <v>BLUE STAR LTD</v>
      </c>
      <c r="H1" t="str">
        <f>UPDATE</f>
        <v/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  <v>42460</v>
      </c>
      <c r="C3" s="16">
        <f>'Data Sheet'!C16</f>
        <v>42825</v>
      </c>
      <c r="D3" s="16">
        <f>'Data Sheet'!D16</f>
        <v>43190</v>
      </c>
      <c r="E3" s="16">
        <f>'Data Sheet'!E16</f>
        <v>43555</v>
      </c>
      <c r="F3" s="16">
        <f>'Data Sheet'!F16</f>
        <v>43921</v>
      </c>
      <c r="G3" s="16">
        <f>'Data Sheet'!G16</f>
        <v>44286</v>
      </c>
      <c r="H3" s="16">
        <f>'Data Sheet'!H16</f>
        <v>44651</v>
      </c>
      <c r="I3" s="16">
        <f>'Data Sheet'!I16</f>
        <v>45016</v>
      </c>
      <c r="J3" s="16">
        <f>'Data Sheet'!J16</f>
        <v>45382</v>
      </c>
      <c r="K3" s="16">
        <f>'Data Sheet'!K16</f>
        <v>45747</v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  <v>3797.96</v>
      </c>
      <c r="C4" s="1">
        <f>'Data Sheet'!C17</f>
        <v>4385.24</v>
      </c>
      <c r="D4" s="1">
        <f>'Data Sheet'!D17</f>
        <v>4638.95</v>
      </c>
      <c r="E4" s="1">
        <f>'Data Sheet'!E17</f>
        <v>5234.84</v>
      </c>
      <c r="F4" s="1">
        <f>'Data Sheet'!F17</f>
        <v>5360.19</v>
      </c>
      <c r="G4" s="1">
        <f>'Data Sheet'!G17</f>
        <v>4263.59</v>
      </c>
      <c r="H4" s="1">
        <f>'Data Sheet'!H17</f>
        <v>6064.08</v>
      </c>
      <c r="I4" s="1">
        <f>'Data Sheet'!I17</f>
        <v>7977.32</v>
      </c>
      <c r="J4" s="1">
        <f>'Data Sheet'!J17</f>
        <v>9685.36</v>
      </c>
      <c r="K4" s="1">
        <f>'Data Sheet'!K17</f>
        <v>11967.65</v>
      </c>
      <c r="L4" s="1">
        <f>SUM(Quarters!H4:K4)</f>
        <v>12084.529999999999</v>
      </c>
      <c r="M4" s="1">
        <f>$K4+M23*K4</f>
        <v>15011.480693486121</v>
      </c>
      <c r="N4" s="1">
        <f>$K4+N23*L4</f>
        <v>13611.334022517702</v>
      </c>
    </row>
    <row r="5" spans="1:14" x14ac:dyDescent="0.2">
      <c r="A5" s="6" t="s">
        <v>7</v>
      </c>
      <c r="B5" s="9">
        <f>SUM('Data Sheet'!B18,'Data Sheet'!B20:B24, -1*'Data Sheet'!B19)</f>
        <v>3631.1899999999996</v>
      </c>
      <c r="C5" s="9">
        <f>SUM('Data Sheet'!C18,'Data Sheet'!C20:C24, -1*'Data Sheet'!C19)</f>
        <v>4162.12</v>
      </c>
      <c r="D5" s="9">
        <f>SUM('Data Sheet'!D18,'Data Sheet'!D20:D24, -1*'Data Sheet'!D19)</f>
        <v>4372.45</v>
      </c>
      <c r="E5" s="9">
        <f>SUM('Data Sheet'!E18,'Data Sheet'!E20:E24, -1*'Data Sheet'!E19)</f>
        <v>4886.6899999999996</v>
      </c>
      <c r="F5" s="9">
        <f>SUM('Data Sheet'!F18,'Data Sheet'!F20:F24, -1*'Data Sheet'!F19)</f>
        <v>5077.22</v>
      </c>
      <c r="G5" s="9">
        <f>SUM('Data Sheet'!G18,'Data Sheet'!G20:G24, -1*'Data Sheet'!G19)</f>
        <v>4023.7799999999993</v>
      </c>
      <c r="H5" s="9">
        <f>SUM('Data Sheet'!H18,'Data Sheet'!H20:H24, -1*'Data Sheet'!H19)</f>
        <v>5716.9600000000009</v>
      </c>
      <c r="I5" s="9">
        <f>SUM('Data Sheet'!I18,'Data Sheet'!I20:I24, -1*'Data Sheet'!I19)</f>
        <v>7477.5899999999992</v>
      </c>
      <c r="J5" s="9">
        <f>SUM('Data Sheet'!J18,'Data Sheet'!J20:J24, -1*'Data Sheet'!J19)</f>
        <v>9016.75</v>
      </c>
      <c r="K5" s="9">
        <f>SUM('Data Sheet'!K18,'Data Sheet'!K20:K24, -1*'Data Sheet'!K19)</f>
        <v>11088.51</v>
      </c>
      <c r="L5" s="9">
        <f>SUM(Quarters!H5:K5)</f>
        <v>11249.269999999999</v>
      </c>
      <c r="M5" s="9">
        <f t="shared" ref="M5:N5" si="0">M4-M6</f>
        <v>13973.915362931997</v>
      </c>
      <c r="N5" s="9">
        <f t="shared" si="0"/>
        <v>12769.0080026217</v>
      </c>
    </row>
    <row r="6" spans="1:14" s="8" customFormat="1" x14ac:dyDescent="0.2">
      <c r="A6" s="8" t="s">
        <v>8</v>
      </c>
      <c r="B6" s="1">
        <f>B4-B5</f>
        <v>166.77000000000044</v>
      </c>
      <c r="C6" s="1">
        <f t="shared" ref="C6:K6" si="1">C4-C5</f>
        <v>223.11999999999989</v>
      </c>
      <c r="D6" s="1">
        <f t="shared" si="1"/>
        <v>266.5</v>
      </c>
      <c r="E6" s="1">
        <f t="shared" si="1"/>
        <v>348.15000000000055</v>
      </c>
      <c r="F6" s="1">
        <f t="shared" si="1"/>
        <v>282.96999999999935</v>
      </c>
      <c r="G6" s="1">
        <f t="shared" si="1"/>
        <v>239.81000000000085</v>
      </c>
      <c r="H6" s="1">
        <f t="shared" si="1"/>
        <v>347.11999999999898</v>
      </c>
      <c r="I6" s="1">
        <f t="shared" si="1"/>
        <v>499.73000000000047</v>
      </c>
      <c r="J6" s="1">
        <f t="shared" si="1"/>
        <v>668.61000000000058</v>
      </c>
      <c r="K6" s="1">
        <f t="shared" si="1"/>
        <v>879.13999999999942</v>
      </c>
      <c r="L6" s="1">
        <f>SUM(Quarters!H6:K6)</f>
        <v>835.2600000000001</v>
      </c>
      <c r="M6" s="1">
        <f>M4*M24</f>
        <v>1037.5653305541232</v>
      </c>
      <c r="N6" s="1">
        <f>N4*N24</f>
        <v>842.32601989600073</v>
      </c>
    </row>
    <row r="7" spans="1:14" x14ac:dyDescent="0.2">
      <c r="A7" s="6" t="s">
        <v>9</v>
      </c>
      <c r="B7" s="9">
        <f>'Data Sheet'!B25</f>
        <v>65.94</v>
      </c>
      <c r="C7" s="9">
        <f>'Data Sheet'!C25</f>
        <v>33.869999999999997</v>
      </c>
      <c r="D7" s="9">
        <f>'Data Sheet'!D25</f>
        <v>21.62</v>
      </c>
      <c r="E7" s="9">
        <f>'Data Sheet'!E25</f>
        <v>25.76</v>
      </c>
      <c r="F7" s="9">
        <f>'Data Sheet'!F25</f>
        <v>40.479999999999997</v>
      </c>
      <c r="G7" s="9">
        <f>'Data Sheet'!G25</f>
        <v>64.95</v>
      </c>
      <c r="H7" s="9">
        <f>'Data Sheet'!H25</f>
        <v>36.159999999999997</v>
      </c>
      <c r="I7" s="9">
        <f>'Data Sheet'!I25</f>
        <v>195.13</v>
      </c>
      <c r="J7" s="9">
        <f>'Data Sheet'!J25</f>
        <v>44.24</v>
      </c>
      <c r="K7" s="9">
        <f>'Data Sheet'!K25</f>
        <v>82.96</v>
      </c>
      <c r="L7" s="9">
        <f>SUM(Quarters!H7:K7)</f>
        <v>79.81</v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  <v>57.09</v>
      </c>
      <c r="C8" s="9">
        <f>'Data Sheet'!C26</f>
        <v>60.58</v>
      </c>
      <c r="D8" s="9">
        <f>'Data Sheet'!D26</f>
        <v>63.81</v>
      </c>
      <c r="E8" s="9">
        <f>'Data Sheet'!E26</f>
        <v>74.900000000000006</v>
      </c>
      <c r="F8" s="9">
        <f>'Data Sheet'!F26</f>
        <v>87.99</v>
      </c>
      <c r="G8" s="9">
        <f>'Data Sheet'!G26</f>
        <v>92.29</v>
      </c>
      <c r="H8" s="9">
        <f>'Data Sheet'!H26</f>
        <v>85.98</v>
      </c>
      <c r="I8" s="9">
        <f>'Data Sheet'!I26</f>
        <v>84.78</v>
      </c>
      <c r="J8" s="9">
        <f>'Data Sheet'!J26</f>
        <v>97.61</v>
      </c>
      <c r="K8" s="9">
        <f>'Data Sheet'!K26</f>
        <v>128.37</v>
      </c>
      <c r="L8" s="9">
        <f>SUM(Quarters!H8:K8)</f>
        <v>141.69999999999999</v>
      </c>
      <c r="M8" s="9">
        <f>+$L8</f>
        <v>141.69999999999999</v>
      </c>
      <c r="N8" s="9">
        <f>+$L8</f>
        <v>141.69999999999999</v>
      </c>
    </row>
    <row r="9" spans="1:14" x14ac:dyDescent="0.2">
      <c r="A9" s="6" t="s">
        <v>11</v>
      </c>
      <c r="B9" s="9">
        <f>'Data Sheet'!B27</f>
        <v>43.15</v>
      </c>
      <c r="C9" s="9">
        <f>'Data Sheet'!C27</f>
        <v>37.78</v>
      </c>
      <c r="D9" s="9">
        <f>'Data Sheet'!D27</f>
        <v>28.74</v>
      </c>
      <c r="E9" s="9">
        <f>'Data Sheet'!E27</f>
        <v>47.87</v>
      </c>
      <c r="F9" s="9">
        <f>'Data Sheet'!F27</f>
        <v>29.47</v>
      </c>
      <c r="G9" s="9">
        <f>'Data Sheet'!G27</f>
        <v>64.72</v>
      </c>
      <c r="H9" s="9">
        <f>'Data Sheet'!H27</f>
        <v>46.4</v>
      </c>
      <c r="I9" s="9">
        <f>'Data Sheet'!I27</f>
        <v>54.7</v>
      </c>
      <c r="J9" s="9">
        <f>'Data Sheet'!J27</f>
        <v>58.08</v>
      </c>
      <c r="K9" s="9">
        <f>'Data Sheet'!K27</f>
        <v>48.8</v>
      </c>
      <c r="L9" s="9">
        <f>SUM(Quarters!H9:K9)</f>
        <v>51.23</v>
      </c>
      <c r="M9" s="9">
        <f>+$L9</f>
        <v>51.23</v>
      </c>
      <c r="N9" s="9">
        <f>+$L9</f>
        <v>51.23</v>
      </c>
    </row>
    <row r="10" spans="1:14" x14ac:dyDescent="0.2">
      <c r="A10" s="6" t="s">
        <v>12</v>
      </c>
      <c r="B10" s="9">
        <f>'Data Sheet'!B28</f>
        <v>132.47</v>
      </c>
      <c r="C10" s="9">
        <f>'Data Sheet'!C28</f>
        <v>158.63</v>
      </c>
      <c r="D10" s="9">
        <f>'Data Sheet'!D28</f>
        <v>195.57</v>
      </c>
      <c r="E10" s="9">
        <f>'Data Sheet'!E28</f>
        <v>251.14</v>
      </c>
      <c r="F10" s="9">
        <f>'Data Sheet'!F28</f>
        <v>205.99</v>
      </c>
      <c r="G10" s="9">
        <f>'Data Sheet'!G28</f>
        <v>147.75</v>
      </c>
      <c r="H10" s="9">
        <f>'Data Sheet'!H28</f>
        <v>250.9</v>
      </c>
      <c r="I10" s="9">
        <f>'Data Sheet'!I28</f>
        <v>555.38</v>
      </c>
      <c r="J10" s="9">
        <f>'Data Sheet'!J28</f>
        <v>557.16</v>
      </c>
      <c r="K10" s="9">
        <f>'Data Sheet'!K28</f>
        <v>784.93</v>
      </c>
      <c r="L10" s="9">
        <f>SUM(Quarters!H10:K10)</f>
        <v>722.1400000000001</v>
      </c>
      <c r="M10" s="9">
        <f>M6+M7-SUM(M8:M9)</f>
        <v>844.63533055412324</v>
      </c>
      <c r="N10" s="9">
        <f>N6+N7-SUM(N8:N9)</f>
        <v>649.39601989600078</v>
      </c>
    </row>
    <row r="11" spans="1:14" x14ac:dyDescent="0.2">
      <c r="A11" s="6" t="s">
        <v>13</v>
      </c>
      <c r="B11" s="9">
        <f>'Data Sheet'!B29</f>
        <v>27.7</v>
      </c>
      <c r="C11" s="9">
        <f>'Data Sheet'!C29</f>
        <v>36.67</v>
      </c>
      <c r="D11" s="9">
        <f>'Data Sheet'!D29</f>
        <v>49.42</v>
      </c>
      <c r="E11" s="9">
        <f>'Data Sheet'!E29</f>
        <v>41.99</v>
      </c>
      <c r="F11" s="9">
        <f>'Data Sheet'!F29</f>
        <v>65.319999999999993</v>
      </c>
      <c r="G11" s="9">
        <f>'Data Sheet'!G29</f>
        <v>47.09</v>
      </c>
      <c r="H11" s="9">
        <f>'Data Sheet'!H29</f>
        <v>82.9</v>
      </c>
      <c r="I11" s="9">
        <f>'Data Sheet'!I29</f>
        <v>154.69</v>
      </c>
      <c r="J11" s="9">
        <f>'Data Sheet'!J29</f>
        <v>142.85</v>
      </c>
      <c r="K11" s="9">
        <f>'Data Sheet'!K29</f>
        <v>193.65</v>
      </c>
      <c r="L11" s="9">
        <f>SUM(Quarters!H11:K11)</f>
        <v>178.79999999999998</v>
      </c>
      <c r="M11" s="10">
        <f>IF($L10&gt;0,$L11/$L10,0)</f>
        <v>0.24759741878306141</v>
      </c>
      <c r="N11" s="10">
        <f>IF($L10&gt;0,$L11/$L10,0)</f>
        <v>0.24759741878306141</v>
      </c>
    </row>
    <row r="12" spans="1:14" s="8" customFormat="1" x14ac:dyDescent="0.2">
      <c r="A12" s="8" t="s">
        <v>14</v>
      </c>
      <c r="B12" s="1">
        <f>'Data Sheet'!B30</f>
        <v>104.78</v>
      </c>
      <c r="C12" s="1">
        <f>'Data Sheet'!C30</f>
        <v>123.05</v>
      </c>
      <c r="D12" s="1">
        <f>'Data Sheet'!D30</f>
        <v>143.96</v>
      </c>
      <c r="E12" s="1">
        <f>'Data Sheet'!E30</f>
        <v>190.06</v>
      </c>
      <c r="F12" s="1">
        <f>'Data Sheet'!F30</f>
        <v>143.25</v>
      </c>
      <c r="G12" s="1">
        <f>'Data Sheet'!G30</f>
        <v>100.35</v>
      </c>
      <c r="H12" s="1">
        <f>'Data Sheet'!H30</f>
        <v>167.71</v>
      </c>
      <c r="I12" s="1">
        <f>'Data Sheet'!I30</f>
        <v>400.46</v>
      </c>
      <c r="J12" s="1">
        <f>'Data Sheet'!J30</f>
        <v>414.95</v>
      </c>
      <c r="K12" s="1">
        <f>'Data Sheet'!K30</f>
        <v>591.24</v>
      </c>
      <c r="L12" s="1">
        <f>SUM(Quarters!H12:K12)</f>
        <v>543.36</v>
      </c>
      <c r="M12" s="1">
        <f>M10-M11*M10</f>
        <v>635.5058028959445</v>
      </c>
      <c r="N12" s="1">
        <f>N10-N11*N10</f>
        <v>488.60724160175744</v>
      </c>
    </row>
    <row r="13" spans="1:14" x14ac:dyDescent="0.2">
      <c r="A13" s="11" t="s">
        <v>57</v>
      </c>
      <c r="B13" s="9">
        <f>IF('Data Sheet'!B93&gt;0,B12/'Data Sheet'!B93,0)</f>
        <v>5.8243468593663152</v>
      </c>
      <c r="C13" s="9">
        <f>IF('Data Sheet'!C93&gt;0,C12/'Data Sheet'!C93,0)</f>
        <v>6.4390371533228681</v>
      </c>
      <c r="D13" s="9">
        <f>IF('Data Sheet'!D93&gt;0,D12/'Data Sheet'!D93,0)</f>
        <v>7.4979166666666677</v>
      </c>
      <c r="E13" s="9">
        <f>IF('Data Sheet'!E93&gt;0,E12/'Data Sheet'!E93,0)</f>
        <v>9.868120456905503</v>
      </c>
      <c r="F13" s="9">
        <f>IF('Data Sheet'!F93&gt;0,F12/'Data Sheet'!F93,0)</f>
        <v>7.4376947040498438</v>
      </c>
      <c r="G13" s="9">
        <f>IF('Data Sheet'!G93&gt;0,G12/'Data Sheet'!G93,0)</f>
        <v>5.2102803738317753</v>
      </c>
      <c r="H13" s="9">
        <f>IF('Data Sheet'!H93&gt;0,H12/'Data Sheet'!H93,0)</f>
        <v>8.7076843198338523</v>
      </c>
      <c r="I13" s="9">
        <f>IF('Data Sheet'!I93&gt;0,I12/'Data Sheet'!I93,0)</f>
        <v>20.792315680166144</v>
      </c>
      <c r="J13" s="9">
        <f>IF('Data Sheet'!J93&gt;0,J12/'Data Sheet'!J93,0)</f>
        <v>20.182392996108952</v>
      </c>
      <c r="K13" s="9">
        <f>IF('Data Sheet'!K93&gt;0,K12/'Data Sheet'!K93,0)</f>
        <v>28.756809338521403</v>
      </c>
      <c r="L13" s="9">
        <f>IF('Data Sheet'!$B6&gt;0,'Profit &amp; Loss'!L12/'Data Sheet'!$B6,0)</f>
        <v>26.426132014420357</v>
      </c>
      <c r="M13" s="9">
        <f>IF('Data Sheet'!$B6&gt;0,'Profit &amp; Loss'!M12/'Data Sheet'!$B6,0)</f>
        <v>30.907612344041578</v>
      </c>
      <c r="N13" s="9">
        <f>IF('Data Sheet'!$B6&gt;0,'Profit &amp; Loss'!N12/'Data Sheet'!$B6,0)</f>
        <v>23.763249907556361</v>
      </c>
    </row>
    <row r="14" spans="1:14" x14ac:dyDescent="0.2">
      <c r="A14" s="6" t="s">
        <v>16</v>
      </c>
      <c r="B14" s="9">
        <f>IF(B15&gt;0,B15/B13,"")</f>
        <v>33.505902844054205</v>
      </c>
      <c r="C14" s="9">
        <f t="shared" ref="C14:K14" si="2">IF(C15&gt;0,C15/C13,"")</f>
        <v>53.76580251930109</v>
      </c>
      <c r="D14" s="9">
        <f t="shared" si="2"/>
        <v>50.377993887190883</v>
      </c>
      <c r="E14" s="9">
        <f t="shared" si="2"/>
        <v>34.347979585394086</v>
      </c>
      <c r="F14" s="9">
        <f t="shared" si="2"/>
        <v>30.887258638743457</v>
      </c>
      <c r="G14" s="9">
        <f t="shared" si="2"/>
        <v>89.649686098654726</v>
      </c>
      <c r="H14" s="9">
        <f t="shared" si="2"/>
        <v>60.409861069703652</v>
      </c>
      <c r="I14" s="9">
        <f t="shared" si="2"/>
        <v>33.165137092343812</v>
      </c>
      <c r="J14" s="9">
        <f t="shared" si="2"/>
        <v>63.109463790818168</v>
      </c>
      <c r="K14" s="9">
        <f t="shared" si="2"/>
        <v>74.29196942020161</v>
      </c>
      <c r="L14" s="9">
        <f t="shared" ref="L14" si="3">IF(L13&gt;0,L15/L13,0)</f>
        <v>73.542734098939931</v>
      </c>
      <c r="M14" s="9">
        <f>M25</f>
        <v>73.542734098939931</v>
      </c>
      <c r="N14" s="9">
        <f>N25</f>
        <v>54.277617185940514</v>
      </c>
    </row>
    <row r="15" spans="1:14" s="8" customFormat="1" x14ac:dyDescent="0.2">
      <c r="A15" s="8" t="s">
        <v>58</v>
      </c>
      <c r="B15" s="1">
        <f>'Data Sheet'!B90</f>
        <v>195.15</v>
      </c>
      <c r="C15" s="1">
        <f>'Data Sheet'!C90</f>
        <v>346.2</v>
      </c>
      <c r="D15" s="1">
        <f>'Data Sheet'!D90</f>
        <v>377.73</v>
      </c>
      <c r="E15" s="1">
        <f>'Data Sheet'!E90</f>
        <v>338.95</v>
      </c>
      <c r="F15" s="1">
        <f>'Data Sheet'!F90</f>
        <v>229.73</v>
      </c>
      <c r="G15" s="1">
        <f>'Data Sheet'!G90</f>
        <v>467.1</v>
      </c>
      <c r="H15" s="1">
        <f>'Data Sheet'!H90</f>
        <v>526.03</v>
      </c>
      <c r="I15" s="1">
        <f>'Data Sheet'!I90</f>
        <v>689.58</v>
      </c>
      <c r="J15" s="1">
        <f>'Data Sheet'!J90</f>
        <v>1273.7</v>
      </c>
      <c r="K15" s="1">
        <f>'Data Sheet'!K90</f>
        <v>2136.4</v>
      </c>
      <c r="L15" s="1">
        <f>'Data Sheet'!B8</f>
        <v>1943.45</v>
      </c>
      <c r="M15" s="12">
        <f>M13*M14</f>
        <v>2273.0303162509631</v>
      </c>
      <c r="N15" s="13">
        <f>N13*N14</f>
        <v>1289.8125815761805</v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  <v>0.55802634090475278</v>
      </c>
      <c r="C18" s="7">
        <f>IF('Data Sheet'!C30&gt;0, 'Data Sheet'!C31/'Data Sheet'!C30, 0)</f>
        <v>0.58236489232019506</v>
      </c>
      <c r="D18" s="7">
        <f>IF('Data Sheet'!D30&gt;0, 'Data Sheet'!D31/'Data Sheet'!D30, 0)</f>
        <v>0.66685190330647404</v>
      </c>
      <c r="E18" s="7">
        <f>IF('Data Sheet'!E30&gt;0, 'Data Sheet'!E31/'Data Sheet'!E30, 0)</f>
        <v>0.50668210038935069</v>
      </c>
      <c r="F18" s="7">
        <f>IF('Data Sheet'!F30&gt;0, 'Data Sheet'!F31/'Data Sheet'!F30, 0)</f>
        <v>0.67225130890052354</v>
      </c>
      <c r="G18" s="7">
        <f>IF('Data Sheet'!G30&gt;0, 'Data Sheet'!G31/'Data Sheet'!G30, 0)</f>
        <v>0.38385650224215251</v>
      </c>
      <c r="H18" s="7">
        <f>IF('Data Sheet'!H30&gt;0, 'Data Sheet'!H31/'Data Sheet'!H30, 0)</f>
        <v>0.57420547373442243</v>
      </c>
      <c r="I18" s="7">
        <f>IF('Data Sheet'!I30&gt;0, 'Data Sheet'!I31/'Data Sheet'!I30, 0)</f>
        <v>0.28856814663137392</v>
      </c>
      <c r="J18" s="7">
        <f>IF('Data Sheet'!J30&gt;0, 'Data Sheet'!J31/'Data Sheet'!J30, 0)</f>
        <v>0.34683696830943483</v>
      </c>
      <c r="K18" s="7">
        <f>IF('Data Sheet'!K30&gt;0, 'Data Sheet'!K31/'Data Sheet'!K30, 0)</f>
        <v>0.31296935254718894</v>
      </c>
    </row>
    <row r="19" spans="1:14" x14ac:dyDescent="0.2">
      <c r="A19" s="6" t="s">
        <v>18</v>
      </c>
      <c r="B19" s="7">
        <f t="shared" ref="B19:L19" si="4">IF(B6&gt;0,B6/B4,0)</f>
        <v>4.3910415064929709E-2</v>
      </c>
      <c r="C19" s="7">
        <f t="shared" ref="C19:K19" si="5">IF(C6&gt;0,C6/C4,0)</f>
        <v>5.0879769408287777E-2</v>
      </c>
      <c r="D19" s="7">
        <f t="shared" si="5"/>
        <v>5.7448344991862382E-2</v>
      </c>
      <c r="E19" s="7">
        <f t="shared" si="5"/>
        <v>6.6506330661491184E-2</v>
      </c>
      <c r="F19" s="7">
        <f t="shared" si="5"/>
        <v>5.2791039123613034E-2</v>
      </c>
      <c r="G19" s="7">
        <f t="shared" si="5"/>
        <v>5.6246027408827032E-2</v>
      </c>
      <c r="H19" s="7">
        <f t="shared" si="5"/>
        <v>5.7241988891966959E-2</v>
      </c>
      <c r="I19" s="7">
        <f t="shared" si="5"/>
        <v>6.2643845301429621E-2</v>
      </c>
      <c r="J19" s="7">
        <f t="shared" si="5"/>
        <v>6.9033056076387517E-2</v>
      </c>
      <c r="K19" s="7">
        <f t="shared" si="5"/>
        <v>7.3459701779380202E-2</v>
      </c>
      <c r="L19" s="7">
        <f t="shared" si="4"/>
        <v>6.9118120439934372E-2</v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>
        <f>IF(B4=0,"",POWER($K4/B4,1/9)-1)</f>
        <v>0.13601555232331775</v>
      </c>
      <c r="I23" s="7">
        <f>IF(D4=0,"",POWER($K4/D4,1/7)-1)</f>
        <v>0.14498146253170408</v>
      </c>
      <c r="J23" s="7">
        <f>IF(F4=0,"",POWER($K4/F4,1/5)-1)</f>
        <v>0.17426397936778959</v>
      </c>
      <c r="K23" s="7">
        <f>IF(H4=0,"",POWER($K4/H4, 1/3)-1)</f>
        <v>0.25433821121825262</v>
      </c>
      <c r="L23" s="7">
        <f>IF(ISERROR(MAX(IF(J4=0,"",(K4-J4)/J4),IF(K4=0,"",(L4-K4)/K4))),"",MAX(IF(J4=0,"",(K4-J4)/J4),IF(K4=0,"",(L4-K4)/K4)))</f>
        <v>0.23564328016718006</v>
      </c>
      <c r="M23" s="22">
        <f>MAX(K23:L23)</f>
        <v>0.25433821121825262</v>
      </c>
      <c r="N23" s="22">
        <f>MIN(H23:L23)</f>
        <v>0.13601555232331775</v>
      </c>
    </row>
    <row r="24" spans="1:14" x14ac:dyDescent="0.2">
      <c r="G24" s="6" t="s">
        <v>18</v>
      </c>
      <c r="H24" s="7">
        <f>IF(SUM(B4:$K$4)=0,"",SUMPRODUCT(B19:$K$19,B4:$K$4)/SUM(B4:$K$4))</f>
        <v>6.1884163484821668E-2</v>
      </c>
      <c r="I24" s="7">
        <f>IF(SUM(E4:$K$4)=0,"",SUMPRODUCT(E19:$K$19,E4:$K$4)/SUM(E4:$K$4))</f>
        <v>6.4596128065914152E-2</v>
      </c>
      <c r="J24" s="7">
        <f>IF(SUM(G4:$K$4)=0,"",SUMPRODUCT(G19:$K$19,G4:$K$4)/SUM(G4:$K$4))</f>
        <v>6.592947594974724E-2</v>
      </c>
      <c r="K24" s="7">
        <f>IF(SUM(I4:$K$4)=0, "", SUMPRODUCT(I19:$K$19,I4:$K$4)/SUM(I4:$K$4))</f>
        <v>6.9100816629446934E-2</v>
      </c>
      <c r="L24" s="7">
        <f>L19</f>
        <v>6.9118120439934372E-2</v>
      </c>
      <c r="M24" s="22">
        <f>MAX(K24:L24)</f>
        <v>6.9118120439934372E-2</v>
      </c>
      <c r="N24" s="22">
        <f>MIN(H24:L24)</f>
        <v>6.1884163484821668E-2</v>
      </c>
    </row>
    <row r="25" spans="1:14" x14ac:dyDescent="0.2">
      <c r="G25" s="6" t="s">
        <v>23</v>
      </c>
      <c r="H25" s="9">
        <f>IF(ISERROR(AVERAGEIF(B14:$L14,"&gt;0")),"",AVERAGEIF(B14:$L14,"&gt;0"))</f>
        <v>54.277617185940514</v>
      </c>
      <c r="I25" s="9">
        <f>IF(ISERROR(AVERAGEIF(E14:$L14,"&gt;0")),"",AVERAGEIF(E14:$L14,"&gt;0"))</f>
        <v>57.425511224349933</v>
      </c>
      <c r="J25" s="9">
        <f>IF(ISERROR(AVERAGEIF(G14:$L14,"&gt;0")),"",AVERAGEIF(G14:$L14,"&gt;0"))</f>
        <v>65.694808595110317</v>
      </c>
      <c r="K25" s="9">
        <f>IF(ISERROR(AVERAGEIF(I14:$L14,"&gt;0")),"",AVERAGEIF(I14:$L14,"&gt;0"))</f>
        <v>61.027326100575877</v>
      </c>
      <c r="L25" s="9">
        <f>L14</f>
        <v>73.542734098939931</v>
      </c>
      <c r="M25" s="1">
        <f>MAX(K25:L25)</f>
        <v>73.542734098939931</v>
      </c>
      <c r="N25" s="1">
        <f>MIN(H25:L25)</f>
        <v>54.277617185940514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bottomLeft" activeCell="A4" sqref="A4"/>
      <selection pane="topRight" activeCell="B1" sqref="B1"/>
      <selection pane="bottomRight" activeCell="K5" sqref="K5"/>
    </sheetView>
  </sheetViews>
  <sheetFormatPr defaultColWidth="8.875" defaultRowHeight="15" x14ac:dyDescent="0.2"/>
  <cols>
    <col min="1" max="1" width="20.71484375" style="6" customWidth="1"/>
    <col min="2" max="11" width="13.44921875" style="6" bestFit="1" customWidth="1"/>
    <col min="12" max="16384" width="8.875" style="6"/>
  </cols>
  <sheetData>
    <row r="1" spans="1:11" s="8" customFormat="1" x14ac:dyDescent="0.2">
      <c r="A1" s="8" t="str">
        <f>'Profit &amp; Loss'!A1</f>
        <v>BLUE STAR LTD</v>
      </c>
      <c r="E1" t="str">
        <f>UPDATE</f>
        <v/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  <v>45016</v>
      </c>
      <c r="C3" s="16">
        <f>'Data Sheet'!C41</f>
        <v>45107</v>
      </c>
      <c r="D3" s="16">
        <f>'Data Sheet'!D41</f>
        <v>45199</v>
      </c>
      <c r="E3" s="16">
        <f>'Data Sheet'!E41</f>
        <v>45291</v>
      </c>
      <c r="F3" s="16">
        <f>'Data Sheet'!F41</f>
        <v>45382</v>
      </c>
      <c r="G3" s="16">
        <f>'Data Sheet'!G41</f>
        <v>45473</v>
      </c>
      <c r="H3" s="16">
        <f>'Data Sheet'!H41</f>
        <v>45565</v>
      </c>
      <c r="I3" s="16">
        <f>'Data Sheet'!I41</f>
        <v>45657</v>
      </c>
      <c r="J3" s="16">
        <f>'Data Sheet'!J41</f>
        <v>45747</v>
      </c>
      <c r="K3" s="16">
        <f>'Data Sheet'!K41</f>
        <v>45838</v>
      </c>
    </row>
    <row r="4" spans="1:11" s="8" customFormat="1" x14ac:dyDescent="0.2">
      <c r="A4" s="8" t="s">
        <v>6</v>
      </c>
      <c r="B4" s="1">
        <f>'Data Sheet'!B42</f>
        <v>2623.83</v>
      </c>
      <c r="C4" s="1">
        <f>'Data Sheet'!C42</f>
        <v>2226</v>
      </c>
      <c r="D4" s="1">
        <f>'Data Sheet'!D42</f>
        <v>1890.4</v>
      </c>
      <c r="E4" s="1">
        <f>'Data Sheet'!E42</f>
        <v>2241.19</v>
      </c>
      <c r="F4" s="1">
        <f>'Data Sheet'!F42</f>
        <v>3327.77</v>
      </c>
      <c r="G4" s="1">
        <f>'Data Sheet'!G42</f>
        <v>2865.37</v>
      </c>
      <c r="H4" s="1">
        <f>'Data Sheet'!H42</f>
        <v>2275.96</v>
      </c>
      <c r="I4" s="1">
        <f>'Data Sheet'!I42</f>
        <v>2807.36</v>
      </c>
      <c r="J4" s="1">
        <f>'Data Sheet'!J42</f>
        <v>4018.96</v>
      </c>
      <c r="K4" s="1">
        <f>'Data Sheet'!K42</f>
        <v>2982.25</v>
      </c>
    </row>
    <row r="5" spans="1:11" x14ac:dyDescent="0.2">
      <c r="A5" s="6" t="s">
        <v>7</v>
      </c>
      <c r="B5" s="9">
        <f>'Data Sheet'!B43</f>
        <v>2444.66</v>
      </c>
      <c r="C5" s="9">
        <f>'Data Sheet'!C43</f>
        <v>2081</v>
      </c>
      <c r="D5" s="9">
        <f>'Data Sheet'!D43</f>
        <v>1767.71</v>
      </c>
      <c r="E5" s="9">
        <f>'Data Sheet'!E43</f>
        <v>2085.84</v>
      </c>
      <c r="F5" s="9">
        <f>'Data Sheet'!F43</f>
        <v>3085.87</v>
      </c>
      <c r="G5" s="9">
        <f>'Data Sheet'!G43</f>
        <v>2627.54</v>
      </c>
      <c r="H5" s="9">
        <f>'Data Sheet'!H43</f>
        <v>2126.94</v>
      </c>
      <c r="I5" s="9">
        <f>'Data Sheet'!I43</f>
        <v>2598.6999999999998</v>
      </c>
      <c r="J5" s="9">
        <f>'Data Sheet'!J43</f>
        <v>3739.96</v>
      </c>
      <c r="K5" s="9">
        <f>'Data Sheet'!K43</f>
        <v>2783.67</v>
      </c>
    </row>
    <row r="6" spans="1:11" s="8" customFormat="1" x14ac:dyDescent="0.2">
      <c r="A6" s="8" t="s">
        <v>8</v>
      </c>
      <c r="B6" s="1">
        <f>'Data Sheet'!B50</f>
        <v>179.17</v>
      </c>
      <c r="C6" s="1">
        <f>'Data Sheet'!C50</f>
        <v>145</v>
      </c>
      <c r="D6" s="1">
        <f>'Data Sheet'!D50</f>
        <v>122.69</v>
      </c>
      <c r="E6" s="1">
        <f>'Data Sheet'!E50</f>
        <v>155.35</v>
      </c>
      <c r="F6" s="1">
        <f>'Data Sheet'!F50</f>
        <v>241.9</v>
      </c>
      <c r="G6" s="1">
        <f>'Data Sheet'!G50</f>
        <v>237.83</v>
      </c>
      <c r="H6" s="1">
        <f>'Data Sheet'!H50</f>
        <v>149.02000000000001</v>
      </c>
      <c r="I6" s="1">
        <f>'Data Sheet'!I50</f>
        <v>208.66</v>
      </c>
      <c r="J6" s="1">
        <f>'Data Sheet'!J50</f>
        <v>279</v>
      </c>
      <c r="K6" s="1">
        <f>'Data Sheet'!K50</f>
        <v>198.58</v>
      </c>
    </row>
    <row r="7" spans="1:11" x14ac:dyDescent="0.2">
      <c r="A7" s="6" t="s">
        <v>9</v>
      </c>
      <c r="B7" s="9">
        <f>'Data Sheet'!B44</f>
        <v>178.73</v>
      </c>
      <c r="C7" s="9">
        <f>'Data Sheet'!C44</f>
        <v>9.4</v>
      </c>
      <c r="D7" s="9">
        <f>'Data Sheet'!D44</f>
        <v>13</v>
      </c>
      <c r="E7" s="9">
        <f>'Data Sheet'!E44</f>
        <v>12.77</v>
      </c>
      <c r="F7" s="9">
        <f>'Data Sheet'!F44</f>
        <v>12.74</v>
      </c>
      <c r="G7" s="9">
        <f>'Data Sheet'!G44</f>
        <v>23.85</v>
      </c>
      <c r="H7" s="9">
        <f>'Data Sheet'!H44</f>
        <v>18.510000000000002</v>
      </c>
      <c r="I7" s="9">
        <f>'Data Sheet'!I44</f>
        <v>21.24</v>
      </c>
      <c r="J7" s="9">
        <f>'Data Sheet'!J44</f>
        <v>23.99</v>
      </c>
      <c r="K7" s="9">
        <f>'Data Sheet'!K44</f>
        <v>16.07</v>
      </c>
    </row>
    <row r="8" spans="1:11" x14ac:dyDescent="0.2">
      <c r="A8" s="6" t="s">
        <v>10</v>
      </c>
      <c r="B8" s="9">
        <f>'Data Sheet'!B45</f>
        <v>22.72</v>
      </c>
      <c r="C8" s="9">
        <f>'Data Sheet'!C45</f>
        <v>22.79</v>
      </c>
      <c r="D8" s="9">
        <f>'Data Sheet'!D45</f>
        <v>23.01</v>
      </c>
      <c r="E8" s="9">
        <f>'Data Sheet'!E45</f>
        <v>23.49</v>
      </c>
      <c r="F8" s="9">
        <f>'Data Sheet'!F45</f>
        <v>28.32</v>
      </c>
      <c r="G8" s="9">
        <f>'Data Sheet'!G45</f>
        <v>28.02</v>
      </c>
      <c r="H8" s="9">
        <f>'Data Sheet'!H45</f>
        <v>29.95</v>
      </c>
      <c r="I8" s="9">
        <f>'Data Sheet'!I45</f>
        <v>34.979999999999997</v>
      </c>
      <c r="J8" s="9">
        <f>'Data Sheet'!J45</f>
        <v>35.42</v>
      </c>
      <c r="K8" s="9">
        <f>'Data Sheet'!K45</f>
        <v>41.35</v>
      </c>
    </row>
    <row r="9" spans="1:11" x14ac:dyDescent="0.2">
      <c r="A9" s="6" t="s">
        <v>11</v>
      </c>
      <c r="B9" s="9">
        <f>'Data Sheet'!B46</f>
        <v>18.07</v>
      </c>
      <c r="C9" s="9">
        <f>'Data Sheet'!C46</f>
        <v>18</v>
      </c>
      <c r="D9" s="9">
        <f>'Data Sheet'!D46</f>
        <v>17.649999999999999</v>
      </c>
      <c r="E9" s="9">
        <f>'Data Sheet'!E46</f>
        <v>10.24</v>
      </c>
      <c r="F9" s="9">
        <f>'Data Sheet'!F46</f>
        <v>12.19</v>
      </c>
      <c r="G9" s="9">
        <f>'Data Sheet'!G46</f>
        <v>7.64</v>
      </c>
      <c r="H9" s="9">
        <f>'Data Sheet'!H46</f>
        <v>6.48</v>
      </c>
      <c r="I9" s="9">
        <f>'Data Sheet'!I46</f>
        <v>15.93</v>
      </c>
      <c r="J9" s="9">
        <f>'Data Sheet'!J46</f>
        <v>18.75</v>
      </c>
      <c r="K9" s="9">
        <f>'Data Sheet'!K46</f>
        <v>10.07</v>
      </c>
    </row>
    <row r="10" spans="1:11" x14ac:dyDescent="0.2">
      <c r="A10" s="6" t="s">
        <v>12</v>
      </c>
      <c r="B10" s="9">
        <f>'Data Sheet'!B47</f>
        <v>317.11</v>
      </c>
      <c r="C10" s="9">
        <f>'Data Sheet'!C47</f>
        <v>113.61</v>
      </c>
      <c r="D10" s="9">
        <f>'Data Sheet'!D47</f>
        <v>95.03</v>
      </c>
      <c r="E10" s="9">
        <f>'Data Sheet'!E47</f>
        <v>134.38999999999999</v>
      </c>
      <c r="F10" s="9">
        <f>'Data Sheet'!F47</f>
        <v>214.13</v>
      </c>
      <c r="G10" s="9">
        <f>'Data Sheet'!G47</f>
        <v>226.02</v>
      </c>
      <c r="H10" s="9">
        <f>'Data Sheet'!H47</f>
        <v>131.1</v>
      </c>
      <c r="I10" s="9">
        <f>'Data Sheet'!I47</f>
        <v>178.99</v>
      </c>
      <c r="J10" s="9">
        <f>'Data Sheet'!J47</f>
        <v>248.82</v>
      </c>
      <c r="K10" s="9">
        <f>'Data Sheet'!K47</f>
        <v>163.22999999999999</v>
      </c>
    </row>
    <row r="11" spans="1:11" x14ac:dyDescent="0.2">
      <c r="A11" s="6" t="s">
        <v>13</v>
      </c>
      <c r="B11" s="9">
        <f>'Data Sheet'!B48</f>
        <v>91.82</v>
      </c>
      <c r="C11" s="9">
        <f>'Data Sheet'!C48</f>
        <v>30.24</v>
      </c>
      <c r="D11" s="9">
        <f>'Data Sheet'!D48</f>
        <v>24.26</v>
      </c>
      <c r="E11" s="9">
        <f>'Data Sheet'!E48</f>
        <v>33.93</v>
      </c>
      <c r="F11" s="9">
        <f>'Data Sheet'!F48</f>
        <v>54.42</v>
      </c>
      <c r="G11" s="9">
        <f>'Data Sheet'!G48</f>
        <v>57.26</v>
      </c>
      <c r="H11" s="9">
        <f>'Data Sheet'!H48</f>
        <v>35.04</v>
      </c>
      <c r="I11" s="9">
        <f>'Data Sheet'!I48</f>
        <v>46.53</v>
      </c>
      <c r="J11" s="9">
        <f>'Data Sheet'!J48</f>
        <v>54.82</v>
      </c>
      <c r="K11" s="9">
        <f>'Data Sheet'!K48</f>
        <v>42.41</v>
      </c>
    </row>
    <row r="12" spans="1:11" s="8" customFormat="1" x14ac:dyDescent="0.2">
      <c r="A12" s="8" t="s">
        <v>14</v>
      </c>
      <c r="B12" s="1">
        <f>'Data Sheet'!B49</f>
        <v>225.25</v>
      </c>
      <c r="C12" s="1">
        <f>'Data Sheet'!C49</f>
        <v>83.35</v>
      </c>
      <c r="D12" s="1">
        <f>'Data Sheet'!D49</f>
        <v>70.67</v>
      </c>
      <c r="E12" s="1">
        <f>'Data Sheet'!E49</f>
        <v>100.39</v>
      </c>
      <c r="F12" s="1">
        <f>'Data Sheet'!F49</f>
        <v>160.54</v>
      </c>
      <c r="G12" s="1">
        <f>'Data Sheet'!G49</f>
        <v>168.84</v>
      </c>
      <c r="H12" s="1">
        <f>'Data Sheet'!H49</f>
        <v>96.19</v>
      </c>
      <c r="I12" s="1">
        <f>'Data Sheet'!I49</f>
        <v>132.57</v>
      </c>
      <c r="J12" s="1">
        <f>'Data Sheet'!J49</f>
        <v>193.64</v>
      </c>
      <c r="K12" s="1">
        <f>'Data Sheet'!K49</f>
        <v>120.96</v>
      </c>
    </row>
    <row r="14" spans="1:11" s="8" customFormat="1" x14ac:dyDescent="0.2">
      <c r="A14" s="2" t="s">
        <v>18</v>
      </c>
      <c r="B14" s="14">
        <f>IF(B4&gt;0,B6/B4,"")</f>
        <v>6.8285673995647583E-2</v>
      </c>
      <c r="C14" s="14">
        <f t="shared" ref="C14:K14" si="0">IF(C4&gt;0,C6/C4,"")</f>
        <v>6.5139263252470797E-2</v>
      </c>
      <c r="D14" s="14">
        <f t="shared" si="0"/>
        <v>6.4901608125264493E-2</v>
      </c>
      <c r="E14" s="14">
        <f t="shared" si="0"/>
        <v>6.9315854523712847E-2</v>
      </c>
      <c r="F14" s="14">
        <f t="shared" si="0"/>
        <v>7.2691321816111085E-2</v>
      </c>
      <c r="G14" s="14">
        <f t="shared" si="0"/>
        <v>8.3001497188844725E-2</v>
      </c>
      <c r="H14" s="14">
        <f t="shared" si="0"/>
        <v>6.5475667410675065E-2</v>
      </c>
      <c r="I14" s="14">
        <f t="shared" si="0"/>
        <v>7.4326057221019037E-2</v>
      </c>
      <c r="J14" s="14">
        <f t="shared" si="0"/>
        <v>6.9420944722017638E-2</v>
      </c>
      <c r="K14" s="14">
        <f t="shared" si="0"/>
        <v>6.6587308240422499E-2</v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bottomLeft" activeCell="C4" sqref="C4"/>
      <selection pane="topRight" activeCell="C4" sqref="C4"/>
      <selection pane="bottomRight" activeCell="K24" sqref="K24"/>
    </sheetView>
  </sheetViews>
  <sheetFormatPr defaultColWidth="8.875" defaultRowHeight="15" x14ac:dyDescent="0.2"/>
  <cols>
    <col min="1" max="1" width="22.8671875" style="11" bestFit="1" customWidth="1"/>
    <col min="2" max="2" width="13.44921875" style="11" customWidth="1"/>
    <col min="3" max="11" width="15.46875" style="11" customWidth="1"/>
    <col min="12" max="16384" width="8.875" style="11"/>
  </cols>
  <sheetData>
    <row r="1" spans="1:11" s="8" customFormat="1" x14ac:dyDescent="0.2">
      <c r="A1" s="8" t="str">
        <f>'Profit &amp; Loss'!A1</f>
        <v>BLUE STAR LTD</v>
      </c>
      <c r="E1" t="str">
        <f>UPDATE</f>
        <v/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  <v>42460</v>
      </c>
      <c r="C3" s="16">
        <f>'Data Sheet'!C56</f>
        <v>42825</v>
      </c>
      <c r="D3" s="16">
        <f>'Data Sheet'!D56</f>
        <v>43190</v>
      </c>
      <c r="E3" s="16">
        <f>'Data Sheet'!E56</f>
        <v>43555</v>
      </c>
      <c r="F3" s="16">
        <f>'Data Sheet'!F56</f>
        <v>43921</v>
      </c>
      <c r="G3" s="16">
        <f>'Data Sheet'!G56</f>
        <v>44286</v>
      </c>
      <c r="H3" s="16">
        <f>'Data Sheet'!H56</f>
        <v>44651</v>
      </c>
      <c r="I3" s="16">
        <f>'Data Sheet'!I56</f>
        <v>45016</v>
      </c>
      <c r="J3" s="16">
        <f>'Data Sheet'!J56</f>
        <v>45382</v>
      </c>
      <c r="K3" s="16">
        <f>'Data Sheet'!K56</f>
        <v>45747</v>
      </c>
    </row>
    <row r="4" spans="1:11" x14ac:dyDescent="0.2">
      <c r="A4" s="6" t="s">
        <v>24</v>
      </c>
      <c r="B4" s="19">
        <f>'Data Sheet'!B57</f>
        <v>17.989999999999998</v>
      </c>
      <c r="C4" s="19">
        <f>'Data Sheet'!C57</f>
        <v>19.11</v>
      </c>
      <c r="D4" s="19">
        <f>'Data Sheet'!D57</f>
        <v>19.2</v>
      </c>
      <c r="E4" s="19">
        <f>'Data Sheet'!E57</f>
        <v>19.260000000000002</v>
      </c>
      <c r="F4" s="19">
        <f>'Data Sheet'!F57</f>
        <v>19.260000000000002</v>
      </c>
      <c r="G4" s="19">
        <f>'Data Sheet'!G57</f>
        <v>19.260000000000002</v>
      </c>
      <c r="H4" s="19">
        <f>'Data Sheet'!H57</f>
        <v>19.260000000000002</v>
      </c>
      <c r="I4" s="19">
        <f>'Data Sheet'!I57</f>
        <v>19.260000000000002</v>
      </c>
      <c r="J4" s="19">
        <f>'Data Sheet'!J57</f>
        <v>41.12</v>
      </c>
      <c r="K4" s="19">
        <f>'Data Sheet'!K57</f>
        <v>41.12</v>
      </c>
    </row>
    <row r="5" spans="1:11" s="6" customFormat="1" x14ac:dyDescent="0.2">
      <c r="A5" s="6" t="s">
        <v>25</v>
      </c>
      <c r="B5" s="19">
        <f>'Data Sheet'!B58</f>
        <v>612.42999999999995</v>
      </c>
      <c r="C5" s="19">
        <f>'Data Sheet'!C58</f>
        <v>738.02</v>
      </c>
      <c r="D5" s="19">
        <f>'Data Sheet'!D58</f>
        <v>773.53</v>
      </c>
      <c r="E5" s="19">
        <f>'Data Sheet'!E58</f>
        <v>853.8</v>
      </c>
      <c r="F5" s="19">
        <f>'Data Sheet'!F58</f>
        <v>763.11</v>
      </c>
      <c r="G5" s="19">
        <f>'Data Sheet'!G58</f>
        <v>865.92</v>
      </c>
      <c r="H5" s="19">
        <f>'Data Sheet'!H58</f>
        <v>998.32</v>
      </c>
      <c r="I5" s="19">
        <f>'Data Sheet'!I58</f>
        <v>1311.39</v>
      </c>
      <c r="J5" s="19">
        <f>'Data Sheet'!J58</f>
        <v>2568.96</v>
      </c>
      <c r="K5" s="19">
        <f>'Data Sheet'!K58</f>
        <v>3023.9</v>
      </c>
    </row>
    <row r="6" spans="1:11" x14ac:dyDescent="0.2">
      <c r="A6" s="11" t="s">
        <v>71</v>
      </c>
      <c r="B6" s="19">
        <f>'Data Sheet'!B59</f>
        <v>364.73</v>
      </c>
      <c r="C6" s="19">
        <f>'Data Sheet'!C59</f>
        <v>221.12</v>
      </c>
      <c r="D6" s="19">
        <f>'Data Sheet'!D59</f>
        <v>375.62</v>
      </c>
      <c r="E6" s="19">
        <f>'Data Sheet'!E59</f>
        <v>347.56</v>
      </c>
      <c r="F6" s="19">
        <f>'Data Sheet'!F59</f>
        <v>520.16</v>
      </c>
      <c r="G6" s="19">
        <f>'Data Sheet'!G59</f>
        <v>510.13</v>
      </c>
      <c r="H6" s="19">
        <f>'Data Sheet'!H59</f>
        <v>553.70000000000005</v>
      </c>
      <c r="I6" s="19">
        <f>'Data Sheet'!I59</f>
        <v>661.95</v>
      </c>
      <c r="J6" s="19">
        <f>'Data Sheet'!J59</f>
        <v>242.93</v>
      </c>
      <c r="K6" s="19">
        <f>'Data Sheet'!K59</f>
        <v>381</v>
      </c>
    </row>
    <row r="7" spans="1:11" s="6" customFormat="1" x14ac:dyDescent="0.2">
      <c r="A7" s="11" t="s">
        <v>72</v>
      </c>
      <c r="B7" s="19">
        <f>'Data Sheet'!B60</f>
        <v>1529.56</v>
      </c>
      <c r="C7" s="19">
        <f>'Data Sheet'!C60</f>
        <v>1671.93</v>
      </c>
      <c r="D7" s="19">
        <f>'Data Sheet'!D60</f>
        <v>2067.87</v>
      </c>
      <c r="E7" s="19">
        <f>'Data Sheet'!E60</f>
        <v>2130.34</v>
      </c>
      <c r="F7" s="19">
        <f>'Data Sheet'!F60</f>
        <v>2136.73</v>
      </c>
      <c r="G7" s="19">
        <f>'Data Sheet'!G60</f>
        <v>2154.14</v>
      </c>
      <c r="H7" s="19">
        <f>'Data Sheet'!H60</f>
        <v>2741.36</v>
      </c>
      <c r="I7" s="19">
        <f>'Data Sheet'!I60</f>
        <v>3454.64</v>
      </c>
      <c r="J7" s="19">
        <f>'Data Sheet'!J60</f>
        <v>3758.26</v>
      </c>
      <c r="K7" s="19">
        <f>'Data Sheet'!K60</f>
        <v>4802.58</v>
      </c>
    </row>
    <row r="8" spans="1:11" s="8" customFormat="1" x14ac:dyDescent="0.2">
      <c r="A8" s="8" t="s">
        <v>26</v>
      </c>
      <c r="B8" s="20">
        <f>'Data Sheet'!B61</f>
        <v>2524.71</v>
      </c>
      <c r="C8" s="20">
        <f>'Data Sheet'!C61</f>
        <v>2650.18</v>
      </c>
      <c r="D8" s="20">
        <f>'Data Sheet'!D61</f>
        <v>3236.22</v>
      </c>
      <c r="E8" s="20">
        <f>'Data Sheet'!E61</f>
        <v>3350.96</v>
      </c>
      <c r="F8" s="20">
        <f>'Data Sheet'!F61</f>
        <v>3439.26</v>
      </c>
      <c r="G8" s="20">
        <f>'Data Sheet'!G61</f>
        <v>3549.45</v>
      </c>
      <c r="H8" s="20">
        <f>'Data Sheet'!H61</f>
        <v>4312.6400000000003</v>
      </c>
      <c r="I8" s="20">
        <f>'Data Sheet'!I61</f>
        <v>5447.24</v>
      </c>
      <c r="J8" s="20">
        <f>'Data Sheet'!J61</f>
        <v>6611.27</v>
      </c>
      <c r="K8" s="20">
        <f>'Data Sheet'!K61</f>
        <v>8248.6</v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  <v>259.45</v>
      </c>
      <c r="C10" s="19">
        <f>'Data Sheet'!C62</f>
        <v>356.11</v>
      </c>
      <c r="D10" s="19">
        <f>'Data Sheet'!D62</f>
        <v>392</v>
      </c>
      <c r="E10" s="19">
        <f>'Data Sheet'!E62</f>
        <v>400.2</v>
      </c>
      <c r="F10" s="19">
        <f>'Data Sheet'!F62</f>
        <v>443.79</v>
      </c>
      <c r="G10" s="19">
        <f>'Data Sheet'!G62</f>
        <v>383.56</v>
      </c>
      <c r="H10" s="19">
        <f>'Data Sheet'!H62</f>
        <v>432.8</v>
      </c>
      <c r="I10" s="19">
        <f>'Data Sheet'!I62</f>
        <v>858.89</v>
      </c>
      <c r="J10" s="19">
        <f>'Data Sheet'!J62</f>
        <v>1164.54</v>
      </c>
      <c r="K10" s="19">
        <f>'Data Sheet'!K62</f>
        <v>1535.71</v>
      </c>
    </row>
    <row r="11" spans="1:11" x14ac:dyDescent="0.2">
      <c r="A11" s="6" t="s">
        <v>28</v>
      </c>
      <c r="B11" s="19">
        <f>'Data Sheet'!B63</f>
        <v>16.350000000000001</v>
      </c>
      <c r="C11" s="19">
        <f>'Data Sheet'!C63</f>
        <v>33.6</v>
      </c>
      <c r="D11" s="19">
        <f>'Data Sheet'!D63</f>
        <v>25.35</v>
      </c>
      <c r="E11" s="19">
        <f>'Data Sheet'!E63</f>
        <v>41.22</v>
      </c>
      <c r="F11" s="19">
        <f>'Data Sheet'!F63</f>
        <v>67.36</v>
      </c>
      <c r="G11" s="19">
        <f>'Data Sheet'!G63</f>
        <v>71.53</v>
      </c>
      <c r="H11" s="19">
        <f>'Data Sheet'!H63</f>
        <v>152.29</v>
      </c>
      <c r="I11" s="19">
        <f>'Data Sheet'!I63</f>
        <v>83.32</v>
      </c>
      <c r="J11" s="19">
        <f>'Data Sheet'!J63</f>
        <v>127.06</v>
      </c>
      <c r="K11" s="19">
        <f>'Data Sheet'!K63</f>
        <v>123.17</v>
      </c>
    </row>
    <row r="12" spans="1:11" x14ac:dyDescent="0.2">
      <c r="A12" s="6" t="s">
        <v>29</v>
      </c>
      <c r="B12" s="19">
        <f>'Data Sheet'!B64</f>
        <v>241.57</v>
      </c>
      <c r="C12" s="19">
        <f>'Data Sheet'!C64</f>
        <v>10.97</v>
      </c>
      <c r="D12" s="19">
        <f>'Data Sheet'!D64</f>
        <v>13.24</v>
      </c>
      <c r="E12" s="19">
        <f>'Data Sheet'!E64</f>
        <v>14.63</v>
      </c>
      <c r="F12" s="19">
        <f>'Data Sheet'!F64</f>
        <v>16.87</v>
      </c>
      <c r="G12" s="19">
        <f>'Data Sheet'!G64</f>
        <v>294.97000000000003</v>
      </c>
      <c r="H12" s="19">
        <f>'Data Sheet'!H64</f>
        <v>162.34</v>
      </c>
      <c r="I12" s="19">
        <f>'Data Sheet'!I64</f>
        <v>148.1</v>
      </c>
      <c r="J12" s="19">
        <f>'Data Sheet'!J64</f>
        <v>266.8</v>
      </c>
      <c r="K12" s="19">
        <f>'Data Sheet'!K64</f>
        <v>432.06</v>
      </c>
    </row>
    <row r="13" spans="1:11" x14ac:dyDescent="0.2">
      <c r="A13" s="11" t="s">
        <v>73</v>
      </c>
      <c r="B13" s="19">
        <f>'Data Sheet'!B65</f>
        <v>2007.34</v>
      </c>
      <c r="C13" s="19">
        <f>'Data Sheet'!C65</f>
        <v>2249.5</v>
      </c>
      <c r="D13" s="19">
        <f>'Data Sheet'!D65</f>
        <v>2805.63</v>
      </c>
      <c r="E13" s="19">
        <f>'Data Sheet'!E65</f>
        <v>2894.91</v>
      </c>
      <c r="F13" s="19">
        <f>'Data Sheet'!F65</f>
        <v>2911.24</v>
      </c>
      <c r="G13" s="19">
        <f>'Data Sheet'!G65</f>
        <v>2799.39</v>
      </c>
      <c r="H13" s="19">
        <f>'Data Sheet'!H65</f>
        <v>3565.21</v>
      </c>
      <c r="I13" s="19">
        <f>'Data Sheet'!I65</f>
        <v>4356.93</v>
      </c>
      <c r="J13" s="19">
        <f>'Data Sheet'!J65</f>
        <v>5052.87</v>
      </c>
      <c r="K13" s="19">
        <f>'Data Sheet'!K65</f>
        <v>6157.66</v>
      </c>
    </row>
    <row r="14" spans="1:11" s="8" customFormat="1" x14ac:dyDescent="0.2">
      <c r="A14" s="8" t="s">
        <v>26</v>
      </c>
      <c r="B14" s="19">
        <f>'Data Sheet'!B66</f>
        <v>2524.71</v>
      </c>
      <c r="C14" s="19">
        <f>'Data Sheet'!C66</f>
        <v>2650.18</v>
      </c>
      <c r="D14" s="19">
        <f>'Data Sheet'!D66</f>
        <v>3236.22</v>
      </c>
      <c r="E14" s="19">
        <f>'Data Sheet'!E66</f>
        <v>3350.96</v>
      </c>
      <c r="F14" s="19">
        <f>'Data Sheet'!F66</f>
        <v>3439.26</v>
      </c>
      <c r="G14" s="19">
        <f>'Data Sheet'!G66</f>
        <v>3549.45</v>
      </c>
      <c r="H14" s="19">
        <f>'Data Sheet'!H66</f>
        <v>4312.6400000000003</v>
      </c>
      <c r="I14" s="19">
        <f>'Data Sheet'!I66</f>
        <v>5447.24</v>
      </c>
      <c r="J14" s="19">
        <f>'Data Sheet'!J66</f>
        <v>6611.27</v>
      </c>
      <c r="K14" s="19">
        <f>'Data Sheet'!K66</f>
        <v>8248.6</v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  <v>477.78</v>
      </c>
      <c r="C16" s="21">
        <f t="shared" ref="C16:K16" si="0">C13-C7</f>
        <v>577.56999999999994</v>
      </c>
      <c r="D16" s="21">
        <f t="shared" si="0"/>
        <v>737.76000000000022</v>
      </c>
      <c r="E16" s="21">
        <f t="shared" si="0"/>
        <v>764.56999999999971</v>
      </c>
      <c r="F16" s="21">
        <f t="shared" si="0"/>
        <v>774.50999999999976</v>
      </c>
      <c r="G16" s="21">
        <f t="shared" si="0"/>
        <v>645.25</v>
      </c>
      <c r="H16" s="21">
        <f t="shared" si="0"/>
        <v>823.84999999999991</v>
      </c>
      <c r="I16" s="21">
        <f t="shared" si="0"/>
        <v>902.29000000000042</v>
      </c>
      <c r="J16" s="21">
        <f t="shared" si="0"/>
        <v>1294.6099999999997</v>
      </c>
      <c r="K16" s="21">
        <f t="shared" si="0"/>
        <v>1355.08</v>
      </c>
    </row>
    <row r="17" spans="1:11" x14ac:dyDescent="0.2">
      <c r="A17" s="11" t="s">
        <v>44</v>
      </c>
      <c r="B17" s="21">
        <f>'Data Sheet'!B67</f>
        <v>790.72</v>
      </c>
      <c r="C17" s="21">
        <f>'Data Sheet'!C67</f>
        <v>938.98</v>
      </c>
      <c r="D17" s="21">
        <f>'Data Sheet'!D67</f>
        <v>950.42</v>
      </c>
      <c r="E17" s="21">
        <f>'Data Sheet'!E67</f>
        <v>1112.05</v>
      </c>
      <c r="F17" s="21">
        <f>'Data Sheet'!F67</f>
        <v>837.67</v>
      </c>
      <c r="G17" s="21">
        <f>'Data Sheet'!G67</f>
        <v>810.98</v>
      </c>
      <c r="H17" s="21">
        <f>'Data Sheet'!H67</f>
        <v>1189.74</v>
      </c>
      <c r="I17" s="21">
        <f>'Data Sheet'!I67</f>
        <v>1548.82</v>
      </c>
      <c r="J17" s="21">
        <f>'Data Sheet'!J67</f>
        <v>1952.56</v>
      </c>
      <c r="K17" s="21">
        <f>'Data Sheet'!K67</f>
        <v>1959.37</v>
      </c>
    </row>
    <row r="18" spans="1:11" x14ac:dyDescent="0.2">
      <c r="A18" s="11" t="s">
        <v>45</v>
      </c>
      <c r="B18" s="21">
        <f>'Data Sheet'!B68</f>
        <v>534.76</v>
      </c>
      <c r="C18" s="21">
        <f>'Data Sheet'!C68</f>
        <v>595.58000000000004</v>
      </c>
      <c r="D18" s="21">
        <f>'Data Sheet'!D68</f>
        <v>1017.08</v>
      </c>
      <c r="E18" s="21">
        <f>'Data Sheet'!E68</f>
        <v>869.32</v>
      </c>
      <c r="F18" s="21">
        <f>'Data Sheet'!F68</f>
        <v>869.82</v>
      </c>
      <c r="G18" s="21">
        <f>'Data Sheet'!G68</f>
        <v>882.42</v>
      </c>
      <c r="H18" s="21">
        <f>'Data Sheet'!H68</f>
        <v>1144.24</v>
      </c>
      <c r="I18" s="21">
        <f>'Data Sheet'!I68</f>
        <v>1433.39</v>
      </c>
      <c r="J18" s="21">
        <f>'Data Sheet'!J68</f>
        <v>1407.18</v>
      </c>
      <c r="K18" s="21">
        <f>'Data Sheet'!K68</f>
        <v>2149.15</v>
      </c>
    </row>
    <row r="20" spans="1:11" x14ac:dyDescent="0.2">
      <c r="A20" s="11" t="s">
        <v>46</v>
      </c>
      <c r="B20" s="5">
        <f>IF('Profit &amp; Loss'!B4&gt;0,'Balance Sheet'!B17/('Profit &amp; Loss'!B4/365),0)</f>
        <v>75.991532296285385</v>
      </c>
      <c r="C20" s="5">
        <f>IF('Profit &amp; Loss'!C4&gt;0,'Balance Sheet'!C17/('Profit &amp; Loss'!C4/365),0)</f>
        <v>78.154833030803346</v>
      </c>
      <c r="D20" s="5">
        <f>IF('Profit &amp; Loss'!D4&gt;0,'Balance Sheet'!D17/('Profit &amp; Loss'!D4/365),0)</f>
        <v>74.780564567412881</v>
      </c>
      <c r="E20" s="5">
        <f>IF('Profit &amp; Loss'!E4&gt;0,'Balance Sheet'!E17/('Profit &amp; Loss'!E4/365),0)</f>
        <v>77.537852159760376</v>
      </c>
      <c r="F20" s="5">
        <f>IF('Profit &amp; Loss'!F4&gt;0,'Balance Sheet'!F17/('Profit &amp; Loss'!F4/365),0)</f>
        <v>57.040804523720247</v>
      </c>
      <c r="G20" s="5">
        <f>IF('Profit &amp; Loss'!G4&gt;0,'Balance Sheet'!G17/('Profit &amp; Loss'!G4/365),0)</f>
        <v>69.426867968073864</v>
      </c>
      <c r="H20" s="5">
        <f>IF('Profit &amp; Loss'!H4&gt;0,'Balance Sheet'!H17/('Profit &amp; Loss'!H4/365),0)</f>
        <v>71.611044049550799</v>
      </c>
      <c r="I20" s="5">
        <f>IF('Profit &amp; Loss'!I4&gt;0,'Balance Sheet'!I17/('Profit &amp; Loss'!I4/365),0)</f>
        <v>70.865817091454275</v>
      </c>
      <c r="J20" s="5">
        <f>IF('Profit &amp; Loss'!J4&gt;0,'Balance Sheet'!J17/('Profit &amp; Loss'!J4/365),0)</f>
        <v>73.583676807057245</v>
      </c>
      <c r="K20" s="5">
        <f>IF('Profit &amp; Loss'!K4&gt;0,'Balance Sheet'!K17/('Profit &amp; Loss'!K4/365),0)</f>
        <v>59.758603401670328</v>
      </c>
    </row>
    <row r="21" spans="1:11" x14ac:dyDescent="0.2">
      <c r="A21" s="11" t="s">
        <v>47</v>
      </c>
      <c r="B21" s="5">
        <f>IF('Balance Sheet'!B18&gt;0,'Profit &amp; Loss'!B4/'Balance Sheet'!B18,0)</f>
        <v>7.1021766773879875</v>
      </c>
      <c r="C21" s="5">
        <f>IF('Balance Sheet'!C18&gt;0,'Profit &amp; Loss'!C4/'Balance Sheet'!C18,0)</f>
        <v>7.3629739077873664</v>
      </c>
      <c r="D21" s="5">
        <f>IF('Balance Sheet'!D18&gt;0,'Profit &amp; Loss'!D4/'Balance Sheet'!D18,0)</f>
        <v>4.5610473119125334</v>
      </c>
      <c r="E21" s="5">
        <f>IF('Balance Sheet'!E18&gt;0,'Profit &amp; Loss'!E4/'Balance Sheet'!E18,0)</f>
        <v>6.0217641374867714</v>
      </c>
      <c r="F21" s="5">
        <f>IF('Balance Sheet'!F18&gt;0,'Profit &amp; Loss'!F4/'Balance Sheet'!F18,0)</f>
        <v>6.1624129130164853</v>
      </c>
      <c r="G21" s="5">
        <f>IF('Balance Sheet'!G18&gt;0,'Profit &amp; Loss'!G4/'Balance Sheet'!G18,0)</f>
        <v>4.8317014573559076</v>
      </c>
      <c r="H21" s="5">
        <f>IF('Balance Sheet'!H18&gt;0,'Profit &amp; Loss'!H4/'Balance Sheet'!H18,0)</f>
        <v>5.2996574145284203</v>
      </c>
      <c r="I21" s="5">
        <f>IF('Balance Sheet'!I18&gt;0,'Profit &amp; Loss'!I4/'Balance Sheet'!I18,0)</f>
        <v>5.5653520674764012</v>
      </c>
      <c r="J21" s="5">
        <f>IF('Balance Sheet'!J18&gt;0,'Profit &amp; Loss'!J4/'Balance Sheet'!J18,0)</f>
        <v>6.8828152759419545</v>
      </c>
      <c r="K21" s="5">
        <f>IF('Balance Sheet'!K18&gt;0,'Profit &amp; Loss'!K4/'Balance Sheet'!K18,0)</f>
        <v>5.56855035711793</v>
      </c>
    </row>
    <row r="23" spans="1:11" s="8" customFormat="1" x14ac:dyDescent="0.2">
      <c r="A23" s="8" t="s">
        <v>59</v>
      </c>
      <c r="B23" s="14">
        <f>IF(SUM('Balance Sheet'!B4:B5)&gt;0,'Profit &amp; Loss'!B12/SUM('Balance Sheet'!B4:B5),"")</f>
        <v>0.16620665588020686</v>
      </c>
      <c r="C23" s="14">
        <f>IF(SUM('Balance Sheet'!C4:C5)&gt;0,'Profit &amp; Loss'!C12/SUM('Balance Sheet'!C4:C5),"")</f>
        <v>0.16252162772575382</v>
      </c>
      <c r="D23" s="14">
        <f>IF(SUM('Balance Sheet'!D4:D5)&gt;0,'Profit &amp; Loss'!D12/SUM('Balance Sheet'!D4:D5),"")</f>
        <v>0.18160029265954361</v>
      </c>
      <c r="E23" s="14">
        <f>IF(SUM('Balance Sheet'!E4:E5)&gt;0,'Profit &amp; Loss'!E12/SUM('Balance Sheet'!E4:E5),"")</f>
        <v>0.21769408746248828</v>
      </c>
      <c r="F23" s="14">
        <f>IF(SUM('Balance Sheet'!F4:F5)&gt;0,'Profit &amp; Loss'!F12/SUM('Balance Sheet'!F4:F5),"")</f>
        <v>0.18309751140764599</v>
      </c>
      <c r="G23" s="14">
        <f>IF(SUM('Balance Sheet'!G4:G5)&gt;0,'Profit &amp; Loss'!G12/SUM('Balance Sheet'!G4:G5),"")</f>
        <v>0.11336677285975734</v>
      </c>
      <c r="H23" s="14">
        <f>IF(SUM('Balance Sheet'!H4:H5)&gt;0,'Profit &amp; Loss'!H12/SUM('Balance Sheet'!H4:H5),"")</f>
        <v>0.16481259458715777</v>
      </c>
      <c r="I23" s="14">
        <f>IF(SUM('Balance Sheet'!I4:I5)&gt;0,'Profit &amp; Loss'!I12/SUM('Balance Sheet'!I4:I5),"")</f>
        <v>0.30095066320970948</v>
      </c>
      <c r="J23" s="14">
        <f>IF(SUM('Balance Sheet'!J4:J5)&gt;0,'Profit &amp; Loss'!J12/SUM('Balance Sheet'!J4:J5),"")</f>
        <v>0.15897980138539816</v>
      </c>
      <c r="K23" s="14">
        <f>IF(SUM('Balance Sheet'!K4:K5)&gt;0,'Profit &amp; Loss'!K12/SUM('Balance Sheet'!K4:K5),"")</f>
        <v>0.19289923067386183</v>
      </c>
    </row>
    <row r="24" spans="1:11" s="8" customFormat="1" x14ac:dyDescent="0.2">
      <c r="A24" s="8" t="s">
        <v>60</v>
      </c>
      <c r="B24" s="14"/>
      <c r="C24" s="14">
        <f>IF((B4+B5+B6+C4+C5+C6)&gt;0,('Profit &amp; Loss'!C10+'Profit &amp; Loss'!C9)*2/(B4+B5+B6+C4+C5+C6),"")</f>
        <v>0.19905746427485557</v>
      </c>
      <c r="D24" s="14">
        <f>IF((C4+C5+C6+D4+D5+D6)&gt;0,('Profit &amp; Loss'!D10+'Profit &amp; Loss'!D9)*2/(C4+C5+C6+D4+D5+D6),"")</f>
        <v>0.20899096245225007</v>
      </c>
      <c r="E24" s="14">
        <f>IF((D4+D5+D6+E4+E5+E6)&gt;0,('Profit &amp; Loss'!E10+'Profit &amp; Loss'!E9)*2/(D4+D5+D6+E4+E5+E6),"")</f>
        <v>0.25032545406597823</v>
      </c>
      <c r="F24" s="14">
        <f>IF((E4+E5+E6+F4+F5+F6)&gt;0,('Profit &amp; Loss'!F10+'Profit &amp; Loss'!F9)*2/(E4+E5+E6+F4+F5+F6),"")</f>
        <v>0.18663971622773123</v>
      </c>
      <c r="G24" s="14">
        <f>IF((F4+F5+F6+G4+G5+G6)&gt;0,('Profit &amp; Loss'!G10+'Profit &amp; Loss'!G9)*2/(F4+F5+F6+G4+G5+G6),"")</f>
        <v>0.15751119414049758</v>
      </c>
      <c r="H24" s="14">
        <f>IF((G4+G5+G6+H4+H5+H6)&gt;0,('Profit &amp; Loss'!H10+'Profit &amp; Loss'!H9)*2/(G4+G5+G6+H4+H5+H6),"")</f>
        <v>0.20043214599927864</v>
      </c>
      <c r="I24" s="14">
        <f>IF((H4+H5+H6+I4+I5+I6)&gt;0,('Profit &amp; Loss'!I10+'Profit &amp; Loss'!I9)*2/(H4+H5+H6+I4+I5+I6),"")</f>
        <v>0.34236842991346511</v>
      </c>
      <c r="J24" s="14">
        <f>IF((I4+I5+I6+J4+J5+J6)&gt;0,('Profit &amp; Loss'!J10+'Profit &amp; Loss'!J9)*2/(I4+I5+I6+J4+J5+J6),"")</f>
        <v>0.25393706881073796</v>
      </c>
      <c r="K24" s="14">
        <f>IF((J4+J5+J6+K4+K5+K6)&gt;0,('Profit &amp; Loss'!K10+'Profit &amp; Loss'!K9)*2/(J4+J5+J6+K4+K5+K6),"")</f>
        <v>0.26471694848254412</v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bottomLeft" activeCell="A4" sqref="A4"/>
      <selection pane="topRight" activeCell="B1" sqref="B1"/>
      <selection pane="bottomRight" activeCell="K5" sqref="K5"/>
    </sheetView>
  </sheetViews>
  <sheetFormatPr defaultColWidth="8.875" defaultRowHeight="15" x14ac:dyDescent="0.2"/>
  <cols>
    <col min="1" max="1" width="26.76953125" style="6" bestFit="1" customWidth="1"/>
    <col min="2" max="6" width="13.44921875" style="6" customWidth="1"/>
    <col min="7" max="11" width="13.44921875" style="6" bestFit="1" customWidth="1"/>
    <col min="12" max="16384" width="8.875" style="6"/>
  </cols>
  <sheetData>
    <row r="1" spans="1:11" s="8" customFormat="1" x14ac:dyDescent="0.2">
      <c r="A1" s="8" t="str">
        <f>'Balance Sheet'!A1</f>
        <v>BLUE STAR LTD</v>
      </c>
      <c r="E1" t="str">
        <f>UPDATE</f>
        <v/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  <v>42460</v>
      </c>
      <c r="C3" s="16">
        <f>'Data Sheet'!C81</f>
        <v>42825</v>
      </c>
      <c r="D3" s="16">
        <f>'Data Sheet'!D81</f>
        <v>43190</v>
      </c>
      <c r="E3" s="16">
        <f>'Data Sheet'!E81</f>
        <v>43555</v>
      </c>
      <c r="F3" s="16">
        <f>'Data Sheet'!F81</f>
        <v>43921</v>
      </c>
      <c r="G3" s="16">
        <f>'Data Sheet'!G81</f>
        <v>44286</v>
      </c>
      <c r="H3" s="16">
        <f>'Data Sheet'!H81</f>
        <v>44651</v>
      </c>
      <c r="I3" s="16">
        <f>'Data Sheet'!I81</f>
        <v>45016</v>
      </c>
      <c r="J3" s="16">
        <f>'Data Sheet'!J81</f>
        <v>45382</v>
      </c>
      <c r="K3" s="16">
        <f>'Data Sheet'!K81</f>
        <v>45747</v>
      </c>
    </row>
    <row r="4" spans="1:11" s="8" customFormat="1" x14ac:dyDescent="0.2">
      <c r="A4" s="8" t="s">
        <v>32</v>
      </c>
      <c r="B4" s="1">
        <f>'Data Sheet'!B82</f>
        <v>256.74</v>
      </c>
      <c r="C4" s="1">
        <f>'Data Sheet'!C82</f>
        <v>158.52000000000001</v>
      </c>
      <c r="D4" s="1">
        <f>'Data Sheet'!D82</f>
        <v>18.87</v>
      </c>
      <c r="E4" s="1">
        <f>'Data Sheet'!E82</f>
        <v>258.41000000000003</v>
      </c>
      <c r="F4" s="1">
        <f>'Data Sheet'!F82</f>
        <v>449.95</v>
      </c>
      <c r="G4" s="1">
        <f>'Data Sheet'!G82</f>
        <v>349.81</v>
      </c>
      <c r="H4" s="1">
        <f>'Data Sheet'!H82</f>
        <v>87.4</v>
      </c>
      <c r="I4" s="1">
        <f>'Data Sheet'!I82</f>
        <v>243.23</v>
      </c>
      <c r="J4" s="1">
        <f>'Data Sheet'!J82</f>
        <v>289.22000000000003</v>
      </c>
      <c r="K4" s="1">
        <f>'Data Sheet'!K82</f>
        <v>688.07</v>
      </c>
    </row>
    <row r="5" spans="1:11" x14ac:dyDescent="0.2">
      <c r="A5" s="6" t="s">
        <v>33</v>
      </c>
      <c r="B5" s="9">
        <f>'Data Sheet'!B83</f>
        <v>-48.5</v>
      </c>
      <c r="C5" s="9">
        <f>'Data Sheet'!C83</f>
        <v>69.44</v>
      </c>
      <c r="D5" s="9">
        <f>'Data Sheet'!D83</f>
        <v>-88.32</v>
      </c>
      <c r="E5" s="9">
        <f>'Data Sheet'!E83</f>
        <v>-64.87</v>
      </c>
      <c r="F5" s="9">
        <f>'Data Sheet'!F83</f>
        <v>-80.75</v>
      </c>
      <c r="G5" s="9">
        <f>'Data Sheet'!G83</f>
        <v>-238.46</v>
      </c>
      <c r="H5" s="9">
        <f>'Data Sheet'!H83</f>
        <v>-67.31</v>
      </c>
      <c r="I5" s="9">
        <f>'Data Sheet'!I83</f>
        <v>-178.45</v>
      </c>
      <c r="J5" s="9">
        <f>'Data Sheet'!J83</f>
        <v>-524.23</v>
      </c>
      <c r="K5" s="9">
        <f>'Data Sheet'!K83</f>
        <v>-463.05</v>
      </c>
    </row>
    <row r="6" spans="1:11" x14ac:dyDescent="0.2">
      <c r="A6" s="6" t="s">
        <v>34</v>
      </c>
      <c r="B6" s="9">
        <f>'Data Sheet'!B84</f>
        <v>-194.9</v>
      </c>
      <c r="C6" s="9">
        <f>'Data Sheet'!C84</f>
        <v>-203.05</v>
      </c>
      <c r="D6" s="9">
        <f>'Data Sheet'!D84</f>
        <v>51.39</v>
      </c>
      <c r="E6" s="9">
        <f>'Data Sheet'!E84</f>
        <v>-180.79</v>
      </c>
      <c r="F6" s="9">
        <f>'Data Sheet'!F84</f>
        <v>-166.91</v>
      </c>
      <c r="G6" s="9">
        <f>'Data Sheet'!G84</f>
        <v>-69.569999999999993</v>
      </c>
      <c r="H6" s="9">
        <f>'Data Sheet'!H84</f>
        <v>-82.37</v>
      </c>
      <c r="I6" s="9">
        <f>'Data Sheet'!I84</f>
        <v>-75.94</v>
      </c>
      <c r="J6" s="9">
        <f>'Data Sheet'!J84</f>
        <v>364.83</v>
      </c>
      <c r="K6" s="9">
        <f>'Data Sheet'!K84</f>
        <v>-162.18</v>
      </c>
    </row>
    <row r="7" spans="1:11" s="8" customFormat="1" x14ac:dyDescent="0.2">
      <c r="A7" s="8" t="s">
        <v>35</v>
      </c>
      <c r="B7" s="1">
        <f>'Data Sheet'!B85</f>
        <v>13.34</v>
      </c>
      <c r="C7" s="1">
        <f>'Data Sheet'!C85</f>
        <v>24.91</v>
      </c>
      <c r="D7" s="1">
        <f>'Data Sheet'!D85</f>
        <v>-18.059999999999999</v>
      </c>
      <c r="E7" s="1">
        <f>'Data Sheet'!E85</f>
        <v>12.75</v>
      </c>
      <c r="F7" s="1">
        <f>'Data Sheet'!F85</f>
        <v>202.29</v>
      </c>
      <c r="G7" s="1">
        <f>'Data Sheet'!G85</f>
        <v>41.78</v>
      </c>
      <c r="H7" s="1">
        <f>'Data Sheet'!H85</f>
        <v>-62.28</v>
      </c>
      <c r="I7" s="1">
        <f>'Data Sheet'!I85</f>
        <v>-11.16</v>
      </c>
      <c r="J7" s="1">
        <f>'Data Sheet'!J85</f>
        <v>129.82</v>
      </c>
      <c r="K7" s="1">
        <f>'Data Sheet'!K85</f>
        <v>62.84</v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875" defaultRowHeight="15" x14ac:dyDescent="0.2"/>
  <cols>
    <col min="1" max="1" width="8.875" style="8"/>
    <col min="2" max="2" width="10.4921875" style="11" customWidth="1"/>
    <col min="3" max="3" width="13.31640625" style="26" customWidth="1"/>
    <col min="4" max="5" width="8.875" style="11"/>
    <col min="6" max="6" width="6.859375" style="11" customWidth="1"/>
    <col min="7" max="16384" width="8.875" style="11"/>
  </cols>
  <sheetData>
    <row r="1" spans="1:7" ht="21" x14ac:dyDescent="0.3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bottomLeft" activeCell="C4" sqref="C4"/>
      <selection pane="topRight" activeCell="C4" sqref="C4"/>
      <selection pane="bottomRight" activeCell="A51" sqref="A51"/>
    </sheetView>
  </sheetViews>
  <sheetFormatPr defaultColWidth="8.875" defaultRowHeight="15" x14ac:dyDescent="0.2"/>
  <cols>
    <col min="1" max="1" width="27.7109375" style="5" bestFit="1" customWidth="1"/>
    <col min="2" max="11" width="13.44921875" style="5" bestFit="1" customWidth="1"/>
    <col min="12" max="16384" width="8.87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  <v/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  <v>20.561465435179706</v>
      </c>
    </row>
    <row r="7" spans="1:11" x14ac:dyDescent="0.2">
      <c r="A7" s="5" t="s">
        <v>31</v>
      </c>
      <c r="B7">
        <v>2</v>
      </c>
    </row>
    <row r="8" spans="1:11" x14ac:dyDescent="0.2">
      <c r="A8" s="5" t="s">
        <v>43</v>
      </c>
      <c r="B8">
        <v>1943.45</v>
      </c>
    </row>
    <row r="9" spans="1:11" x14ac:dyDescent="0.2">
      <c r="A9" s="5" t="s">
        <v>79</v>
      </c>
      <c r="B9">
        <v>39960.18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</v>
      </c>
      <c r="C16" s="16">
        <v>42825</v>
      </c>
      <c r="D16" s="16">
        <v>43190</v>
      </c>
      <c r="E16" s="16">
        <v>43555</v>
      </c>
      <c r="F16" s="16">
        <v>43921</v>
      </c>
      <c r="G16" s="16">
        <v>44286</v>
      </c>
      <c r="H16" s="16">
        <v>44651</v>
      </c>
      <c r="I16" s="16">
        <v>45016</v>
      </c>
      <c r="J16" s="16">
        <v>45382</v>
      </c>
      <c r="K16" s="16">
        <v>45747</v>
      </c>
    </row>
    <row r="17" spans="1:11" s="9" customFormat="1" x14ac:dyDescent="0.2">
      <c r="A17" s="9" t="s">
        <v>6</v>
      </c>
      <c r="B17">
        <v>3797.96</v>
      </c>
      <c r="C17">
        <v>4385.24</v>
      </c>
      <c r="D17">
        <v>4638.95</v>
      </c>
      <c r="E17">
        <v>5234.84</v>
      </c>
      <c r="F17">
        <v>5360.19</v>
      </c>
      <c r="G17">
        <v>4263.59</v>
      </c>
      <c r="H17">
        <v>6064.08</v>
      </c>
      <c r="I17">
        <v>7977.32</v>
      </c>
      <c r="J17">
        <v>9685.36</v>
      </c>
      <c r="K17">
        <v>11967.65</v>
      </c>
    </row>
    <row r="18" spans="1:11" s="9" customFormat="1" x14ac:dyDescent="0.2">
      <c r="A18" s="5" t="s">
        <v>80</v>
      </c>
      <c r="B18">
        <v>1938.42</v>
      </c>
      <c r="C18">
        <v>2266.1999999999998</v>
      </c>
      <c r="D18">
        <v>2672.98</v>
      </c>
      <c r="E18">
        <v>2489.42</v>
      </c>
      <c r="F18">
        <v>2745.78</v>
      </c>
      <c r="G18">
        <v>2223.7199999999998</v>
      </c>
      <c r="H18">
        <v>3395.75</v>
      </c>
      <c r="I18">
        <v>4289.17</v>
      </c>
      <c r="J18">
        <v>4752.12</v>
      </c>
      <c r="K18">
        <v>6256.31</v>
      </c>
    </row>
    <row r="19" spans="1:11" s="9" customFormat="1" x14ac:dyDescent="0.2">
      <c r="A19" s="5" t="s">
        <v>81</v>
      </c>
      <c r="B19">
        <v>64.88</v>
      </c>
      <c r="C19">
        <v>16.940000000000001</v>
      </c>
      <c r="D19">
        <v>224.26</v>
      </c>
      <c r="E19">
        <v>-170.44</v>
      </c>
      <c r="F19">
        <v>7.95</v>
      </c>
      <c r="G19">
        <v>-30.81</v>
      </c>
      <c r="H19">
        <v>50.94</v>
      </c>
      <c r="I19">
        <v>185.33</v>
      </c>
      <c r="J19">
        <v>-83.69</v>
      </c>
      <c r="K19">
        <v>281.29000000000002</v>
      </c>
    </row>
    <row r="20" spans="1:11" s="9" customFormat="1" x14ac:dyDescent="0.2">
      <c r="A20" s="5" t="s">
        <v>82</v>
      </c>
      <c r="B20">
        <v>17.02</v>
      </c>
      <c r="C20">
        <v>16.64</v>
      </c>
      <c r="D20">
        <v>17.23</v>
      </c>
      <c r="E20">
        <v>17.22</v>
      </c>
      <c r="F20">
        <v>17.59</v>
      </c>
      <c r="G20">
        <v>13.85</v>
      </c>
      <c r="H20">
        <v>17.54</v>
      </c>
      <c r="I20">
        <v>27.5</v>
      </c>
      <c r="J20">
        <v>23.2</v>
      </c>
      <c r="K20">
        <v>29.24</v>
      </c>
    </row>
    <row r="21" spans="1:11" s="9" customFormat="1" x14ac:dyDescent="0.2">
      <c r="A21" s="5" t="s">
        <v>83</v>
      </c>
      <c r="B21">
        <v>931.64</v>
      </c>
      <c r="C21">
        <v>1108.08</v>
      </c>
      <c r="D21">
        <v>1046.71</v>
      </c>
      <c r="E21">
        <v>1307.9100000000001</v>
      </c>
      <c r="F21">
        <v>1318.35</v>
      </c>
      <c r="G21">
        <v>1047.82</v>
      </c>
      <c r="H21">
        <v>1429.28</v>
      </c>
      <c r="I21">
        <v>2142.0700000000002</v>
      </c>
      <c r="J21">
        <v>2638.81</v>
      </c>
      <c r="K21">
        <v>3215.97</v>
      </c>
    </row>
    <row r="22" spans="1:11" s="9" customFormat="1" x14ac:dyDescent="0.2">
      <c r="A22" s="5" t="s">
        <v>84</v>
      </c>
      <c r="B22">
        <v>417.86</v>
      </c>
      <c r="C22">
        <v>339.63</v>
      </c>
      <c r="D22">
        <v>397.72</v>
      </c>
      <c r="E22">
        <v>421.49</v>
      </c>
      <c r="F22">
        <v>484.51</v>
      </c>
      <c r="G22">
        <v>381.81</v>
      </c>
      <c r="H22">
        <v>508.55</v>
      </c>
      <c r="I22">
        <v>592.15</v>
      </c>
      <c r="J22">
        <v>749.48</v>
      </c>
      <c r="K22">
        <v>918.87</v>
      </c>
    </row>
    <row r="23" spans="1:11" s="9" customFormat="1" x14ac:dyDescent="0.2">
      <c r="A23" s="5" t="s">
        <v>85</v>
      </c>
      <c r="B23">
        <v>326.68</v>
      </c>
      <c r="C23">
        <v>405.23</v>
      </c>
      <c r="D23">
        <v>397.86</v>
      </c>
      <c r="E23">
        <v>417.34</v>
      </c>
      <c r="F23">
        <v>429.04</v>
      </c>
      <c r="G23">
        <v>267.17</v>
      </c>
      <c r="H23">
        <v>349.18</v>
      </c>
      <c r="I23">
        <v>492.94</v>
      </c>
      <c r="J23">
        <v>624.6</v>
      </c>
      <c r="K23">
        <v>803.06</v>
      </c>
    </row>
    <row r="24" spans="1:11" s="9" customFormat="1" x14ac:dyDescent="0.2">
      <c r="A24" s="5" t="s">
        <v>86</v>
      </c>
      <c r="B24">
        <v>64.45</v>
      </c>
      <c r="C24">
        <v>43.28</v>
      </c>
      <c r="D24">
        <v>64.209999999999994</v>
      </c>
      <c r="E24">
        <v>62.87</v>
      </c>
      <c r="F24">
        <v>89.9</v>
      </c>
      <c r="G24">
        <v>58.6</v>
      </c>
      <c r="H24">
        <v>67.599999999999994</v>
      </c>
      <c r="I24">
        <v>119.09</v>
      </c>
      <c r="J24">
        <v>144.85</v>
      </c>
      <c r="K24">
        <v>146.35</v>
      </c>
    </row>
    <row r="25" spans="1:11" s="9" customFormat="1" x14ac:dyDescent="0.2">
      <c r="A25" s="9" t="s">
        <v>9</v>
      </c>
      <c r="B25">
        <v>65.94</v>
      </c>
      <c r="C25">
        <v>33.869999999999997</v>
      </c>
      <c r="D25">
        <v>21.62</v>
      </c>
      <c r="E25">
        <v>25.76</v>
      </c>
      <c r="F25">
        <v>40.479999999999997</v>
      </c>
      <c r="G25">
        <v>64.95</v>
      </c>
      <c r="H25">
        <v>36.159999999999997</v>
      </c>
      <c r="I25">
        <v>195.13</v>
      </c>
      <c r="J25">
        <v>44.24</v>
      </c>
      <c r="K25">
        <v>82.96</v>
      </c>
    </row>
    <row r="26" spans="1:11" s="9" customFormat="1" x14ac:dyDescent="0.2">
      <c r="A26" s="9" t="s">
        <v>10</v>
      </c>
      <c r="B26">
        <v>57.09</v>
      </c>
      <c r="C26">
        <v>60.58</v>
      </c>
      <c r="D26">
        <v>63.81</v>
      </c>
      <c r="E26">
        <v>74.900000000000006</v>
      </c>
      <c r="F26">
        <v>87.99</v>
      </c>
      <c r="G26">
        <v>92.29</v>
      </c>
      <c r="H26">
        <v>85.98</v>
      </c>
      <c r="I26">
        <v>84.78</v>
      </c>
      <c r="J26">
        <v>97.61</v>
      </c>
      <c r="K26">
        <v>128.37</v>
      </c>
    </row>
    <row r="27" spans="1:11" s="9" customFormat="1" x14ac:dyDescent="0.2">
      <c r="A27" s="9" t="s">
        <v>11</v>
      </c>
      <c r="B27">
        <v>43.15</v>
      </c>
      <c r="C27">
        <v>37.78</v>
      </c>
      <c r="D27">
        <v>28.74</v>
      </c>
      <c r="E27">
        <v>47.87</v>
      </c>
      <c r="F27">
        <v>29.47</v>
      </c>
      <c r="G27">
        <v>64.72</v>
      </c>
      <c r="H27">
        <v>46.4</v>
      </c>
      <c r="I27">
        <v>54.7</v>
      </c>
      <c r="J27">
        <v>58.08</v>
      </c>
      <c r="K27">
        <v>48.8</v>
      </c>
    </row>
    <row r="28" spans="1:11" s="9" customFormat="1" x14ac:dyDescent="0.2">
      <c r="A28" s="9" t="s">
        <v>12</v>
      </c>
      <c r="B28">
        <v>132.47</v>
      </c>
      <c r="C28">
        <v>158.63</v>
      </c>
      <c r="D28">
        <v>195.57</v>
      </c>
      <c r="E28">
        <v>251.14</v>
      </c>
      <c r="F28">
        <v>205.99</v>
      </c>
      <c r="G28">
        <v>147.75</v>
      </c>
      <c r="H28">
        <v>250.9</v>
      </c>
      <c r="I28">
        <v>555.38</v>
      </c>
      <c r="J28">
        <v>557.16</v>
      </c>
      <c r="K28">
        <v>784.93</v>
      </c>
    </row>
    <row r="29" spans="1:11" s="9" customFormat="1" x14ac:dyDescent="0.2">
      <c r="A29" s="9" t="s">
        <v>13</v>
      </c>
      <c r="B29">
        <v>27.7</v>
      </c>
      <c r="C29">
        <v>36.67</v>
      </c>
      <c r="D29">
        <v>49.42</v>
      </c>
      <c r="E29">
        <v>41.99</v>
      </c>
      <c r="F29">
        <v>65.319999999999993</v>
      </c>
      <c r="G29">
        <v>47.09</v>
      </c>
      <c r="H29">
        <v>82.9</v>
      </c>
      <c r="I29">
        <v>154.69</v>
      </c>
      <c r="J29">
        <v>142.85</v>
      </c>
      <c r="K29">
        <v>193.65</v>
      </c>
    </row>
    <row r="30" spans="1:11" s="9" customFormat="1" x14ac:dyDescent="0.2">
      <c r="A30" s="9" t="s">
        <v>14</v>
      </c>
      <c r="B30">
        <v>104.78</v>
      </c>
      <c r="C30">
        <v>123.05</v>
      </c>
      <c r="D30">
        <v>143.96</v>
      </c>
      <c r="E30">
        <v>190.06</v>
      </c>
      <c r="F30">
        <v>143.25</v>
      </c>
      <c r="G30">
        <v>100.35</v>
      </c>
      <c r="H30">
        <v>167.71</v>
      </c>
      <c r="I30">
        <v>400.46</v>
      </c>
      <c r="J30">
        <v>414.95</v>
      </c>
      <c r="K30">
        <v>591.24</v>
      </c>
    </row>
    <row r="31" spans="1:11" s="9" customFormat="1" x14ac:dyDescent="0.2">
      <c r="A31" s="9" t="s">
        <v>70</v>
      </c>
      <c r="B31">
        <v>58.47</v>
      </c>
      <c r="C31">
        <v>71.66</v>
      </c>
      <c r="D31">
        <v>96</v>
      </c>
      <c r="E31">
        <v>96.3</v>
      </c>
      <c r="F31">
        <v>96.3</v>
      </c>
      <c r="G31">
        <v>38.520000000000003</v>
      </c>
      <c r="H31">
        <v>96.3</v>
      </c>
      <c r="I31">
        <v>115.56</v>
      </c>
      <c r="J31">
        <v>143.91999999999999</v>
      </c>
      <c r="K31">
        <v>185.04</v>
      </c>
    </row>
    <row r="32" spans="1:1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45016</v>
      </c>
      <c r="C41" s="16">
        <v>45107</v>
      </c>
      <c r="D41" s="16">
        <v>45199</v>
      </c>
      <c r="E41" s="16">
        <v>45291</v>
      </c>
      <c r="F41" s="16">
        <v>45382</v>
      </c>
      <c r="G41" s="16">
        <v>45473</v>
      </c>
      <c r="H41" s="16">
        <v>45565</v>
      </c>
      <c r="I41" s="16">
        <v>45657</v>
      </c>
      <c r="J41" s="16">
        <v>45747</v>
      </c>
      <c r="K41" s="16">
        <v>45838</v>
      </c>
    </row>
    <row r="42" spans="1:11" s="9" customFormat="1" x14ac:dyDescent="0.2">
      <c r="A42" s="9" t="s">
        <v>6</v>
      </c>
      <c r="B42">
        <v>2623.83</v>
      </c>
      <c r="C42">
        <v>2226</v>
      </c>
      <c r="D42">
        <v>1890.4</v>
      </c>
      <c r="E42">
        <v>2241.19</v>
      </c>
      <c r="F42">
        <v>3327.77</v>
      </c>
      <c r="G42">
        <v>2865.37</v>
      </c>
      <c r="H42">
        <v>2275.96</v>
      </c>
      <c r="I42">
        <v>2807.36</v>
      </c>
      <c r="J42">
        <v>4018.96</v>
      </c>
      <c r="K42">
        <v>2982.25</v>
      </c>
    </row>
    <row r="43" spans="1:11" s="9" customFormat="1" x14ac:dyDescent="0.2">
      <c r="A43" s="9" t="s">
        <v>7</v>
      </c>
      <c r="B43">
        <v>2444.66</v>
      </c>
      <c r="C43">
        <v>2081</v>
      </c>
      <c r="D43">
        <v>1767.71</v>
      </c>
      <c r="E43">
        <v>2085.84</v>
      </c>
      <c r="F43">
        <v>3085.87</v>
      </c>
      <c r="G43">
        <v>2627.54</v>
      </c>
      <c r="H43">
        <v>2126.94</v>
      </c>
      <c r="I43">
        <v>2598.6999999999998</v>
      </c>
      <c r="J43">
        <v>3739.96</v>
      </c>
      <c r="K43">
        <v>2783.67</v>
      </c>
    </row>
    <row r="44" spans="1:11" s="9" customFormat="1" x14ac:dyDescent="0.2">
      <c r="A44" s="9" t="s">
        <v>9</v>
      </c>
      <c r="B44">
        <v>178.73</v>
      </c>
      <c r="C44">
        <v>9.4</v>
      </c>
      <c r="D44">
        <v>13</v>
      </c>
      <c r="E44">
        <v>12.77</v>
      </c>
      <c r="F44">
        <v>12.74</v>
      </c>
      <c r="G44">
        <v>23.85</v>
      </c>
      <c r="H44">
        <v>18.510000000000002</v>
      </c>
      <c r="I44">
        <v>21.24</v>
      </c>
      <c r="J44">
        <v>23.99</v>
      </c>
      <c r="K44">
        <v>16.07</v>
      </c>
    </row>
    <row r="45" spans="1:11" s="9" customFormat="1" x14ac:dyDescent="0.2">
      <c r="A45" s="9" t="s">
        <v>10</v>
      </c>
      <c r="B45">
        <v>22.72</v>
      </c>
      <c r="C45">
        <v>22.79</v>
      </c>
      <c r="D45">
        <v>23.01</v>
      </c>
      <c r="E45">
        <v>23.49</v>
      </c>
      <c r="F45">
        <v>28.32</v>
      </c>
      <c r="G45">
        <v>28.02</v>
      </c>
      <c r="H45">
        <v>29.95</v>
      </c>
      <c r="I45">
        <v>34.979999999999997</v>
      </c>
      <c r="J45">
        <v>35.42</v>
      </c>
      <c r="K45">
        <v>41.35</v>
      </c>
    </row>
    <row r="46" spans="1:11" s="9" customFormat="1" x14ac:dyDescent="0.2">
      <c r="A46" s="9" t="s">
        <v>11</v>
      </c>
      <c r="B46">
        <v>18.07</v>
      </c>
      <c r="C46">
        <v>18</v>
      </c>
      <c r="D46">
        <v>17.649999999999999</v>
      </c>
      <c r="E46">
        <v>10.24</v>
      </c>
      <c r="F46">
        <v>12.19</v>
      </c>
      <c r="G46">
        <v>7.64</v>
      </c>
      <c r="H46">
        <v>6.48</v>
      </c>
      <c r="I46">
        <v>15.93</v>
      </c>
      <c r="J46">
        <v>18.75</v>
      </c>
      <c r="K46">
        <v>10.07</v>
      </c>
    </row>
    <row r="47" spans="1:11" s="9" customFormat="1" x14ac:dyDescent="0.2">
      <c r="A47" s="9" t="s">
        <v>12</v>
      </c>
      <c r="B47">
        <v>317.11</v>
      </c>
      <c r="C47">
        <v>113.61</v>
      </c>
      <c r="D47">
        <v>95.03</v>
      </c>
      <c r="E47">
        <v>134.38999999999999</v>
      </c>
      <c r="F47">
        <v>214.13</v>
      </c>
      <c r="G47">
        <v>226.02</v>
      </c>
      <c r="H47">
        <v>131.1</v>
      </c>
      <c r="I47">
        <v>178.99</v>
      </c>
      <c r="J47">
        <v>248.82</v>
      </c>
      <c r="K47">
        <v>163.22999999999999</v>
      </c>
    </row>
    <row r="48" spans="1:11" s="9" customFormat="1" x14ac:dyDescent="0.2">
      <c r="A48" s="9" t="s">
        <v>13</v>
      </c>
      <c r="B48">
        <v>91.82</v>
      </c>
      <c r="C48">
        <v>30.24</v>
      </c>
      <c r="D48">
        <v>24.26</v>
      </c>
      <c r="E48">
        <v>33.93</v>
      </c>
      <c r="F48">
        <v>54.42</v>
      </c>
      <c r="G48">
        <v>57.26</v>
      </c>
      <c r="H48">
        <v>35.04</v>
      </c>
      <c r="I48">
        <v>46.53</v>
      </c>
      <c r="J48">
        <v>54.82</v>
      </c>
      <c r="K48">
        <v>42.41</v>
      </c>
    </row>
    <row r="49" spans="1:11" s="9" customFormat="1" x14ac:dyDescent="0.2">
      <c r="A49" s="9" t="s">
        <v>14</v>
      </c>
      <c r="B49">
        <v>225.25</v>
      </c>
      <c r="C49">
        <v>83.35</v>
      </c>
      <c r="D49">
        <v>70.67</v>
      </c>
      <c r="E49">
        <v>100.39</v>
      </c>
      <c r="F49">
        <v>160.54</v>
      </c>
      <c r="G49">
        <v>168.84</v>
      </c>
      <c r="H49">
        <v>96.19</v>
      </c>
      <c r="I49">
        <v>132.57</v>
      </c>
      <c r="J49">
        <v>193.64</v>
      </c>
      <c r="K49">
        <v>120.96</v>
      </c>
    </row>
    <row r="50" spans="1:11" x14ac:dyDescent="0.2">
      <c r="A50" s="9" t="s">
        <v>8</v>
      </c>
      <c r="B50">
        <v>179.17</v>
      </c>
      <c r="C50">
        <v>145</v>
      </c>
      <c r="D50">
        <v>122.69</v>
      </c>
      <c r="E50">
        <v>155.35</v>
      </c>
      <c r="F50">
        <v>241.9</v>
      </c>
      <c r="G50">
        <v>237.83</v>
      </c>
      <c r="H50">
        <v>149.02000000000001</v>
      </c>
      <c r="I50">
        <v>208.66</v>
      </c>
      <c r="J50">
        <v>279</v>
      </c>
      <c r="K50">
        <v>198.58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</v>
      </c>
      <c r="C56" s="16">
        <v>42825</v>
      </c>
      <c r="D56" s="16">
        <v>43190</v>
      </c>
      <c r="E56" s="16">
        <v>43555</v>
      </c>
      <c r="F56" s="16">
        <v>43921</v>
      </c>
      <c r="G56" s="16">
        <v>44286</v>
      </c>
      <c r="H56" s="16">
        <v>44651</v>
      </c>
      <c r="I56" s="16">
        <v>45016</v>
      </c>
      <c r="J56" s="16">
        <v>45382</v>
      </c>
      <c r="K56" s="16">
        <v>45747</v>
      </c>
    </row>
    <row r="57" spans="1:11" x14ac:dyDescent="0.2">
      <c r="A57" s="9" t="s">
        <v>24</v>
      </c>
      <c r="B57">
        <v>17.989999999999998</v>
      </c>
      <c r="C57">
        <v>19.11</v>
      </c>
      <c r="D57">
        <v>19.2</v>
      </c>
      <c r="E57">
        <v>19.260000000000002</v>
      </c>
      <c r="F57">
        <v>19.260000000000002</v>
      </c>
      <c r="G57">
        <v>19.260000000000002</v>
      </c>
      <c r="H57">
        <v>19.260000000000002</v>
      </c>
      <c r="I57">
        <v>19.260000000000002</v>
      </c>
      <c r="J57">
        <v>41.12</v>
      </c>
      <c r="K57">
        <v>41.12</v>
      </c>
    </row>
    <row r="58" spans="1:11" x14ac:dyDescent="0.2">
      <c r="A58" s="9" t="s">
        <v>25</v>
      </c>
      <c r="B58">
        <v>612.42999999999995</v>
      </c>
      <c r="C58">
        <v>738.02</v>
      </c>
      <c r="D58">
        <v>773.53</v>
      </c>
      <c r="E58">
        <v>853.8</v>
      </c>
      <c r="F58">
        <v>763.11</v>
      </c>
      <c r="G58">
        <v>865.92</v>
      </c>
      <c r="H58">
        <v>998.32</v>
      </c>
      <c r="I58">
        <v>1311.39</v>
      </c>
      <c r="J58">
        <v>2568.96</v>
      </c>
      <c r="K58">
        <v>3023.9</v>
      </c>
    </row>
    <row r="59" spans="1:11" x14ac:dyDescent="0.2">
      <c r="A59" s="9" t="s">
        <v>71</v>
      </c>
      <c r="B59">
        <v>364.73</v>
      </c>
      <c r="C59">
        <v>221.12</v>
      </c>
      <c r="D59">
        <v>375.62</v>
      </c>
      <c r="E59">
        <v>347.56</v>
      </c>
      <c r="F59">
        <v>520.16</v>
      </c>
      <c r="G59">
        <v>510.13</v>
      </c>
      <c r="H59">
        <v>553.70000000000005</v>
      </c>
      <c r="I59">
        <v>661.95</v>
      </c>
      <c r="J59">
        <v>242.93</v>
      </c>
      <c r="K59">
        <v>381</v>
      </c>
    </row>
    <row r="60" spans="1:11" x14ac:dyDescent="0.2">
      <c r="A60" s="9" t="s">
        <v>72</v>
      </c>
      <c r="B60">
        <v>1529.56</v>
      </c>
      <c r="C60">
        <v>1671.93</v>
      </c>
      <c r="D60">
        <v>2067.87</v>
      </c>
      <c r="E60">
        <v>2130.34</v>
      </c>
      <c r="F60">
        <v>2136.73</v>
      </c>
      <c r="G60">
        <v>2154.14</v>
      </c>
      <c r="H60">
        <v>2741.36</v>
      </c>
      <c r="I60">
        <v>3454.64</v>
      </c>
      <c r="J60">
        <v>3758.26</v>
      </c>
      <c r="K60">
        <v>4802.58</v>
      </c>
    </row>
    <row r="61" spans="1:11" s="1" customFormat="1" x14ac:dyDescent="0.2">
      <c r="A61" s="1" t="s">
        <v>26</v>
      </c>
      <c r="B61">
        <v>2524.71</v>
      </c>
      <c r="C61">
        <v>2650.18</v>
      </c>
      <c r="D61">
        <v>3236.22</v>
      </c>
      <c r="E61">
        <v>3350.96</v>
      </c>
      <c r="F61">
        <v>3439.26</v>
      </c>
      <c r="G61">
        <v>3549.45</v>
      </c>
      <c r="H61">
        <v>4312.6400000000003</v>
      </c>
      <c r="I61">
        <v>5447.24</v>
      </c>
      <c r="J61">
        <v>6611.27</v>
      </c>
      <c r="K61">
        <v>8248.6</v>
      </c>
    </row>
    <row r="62" spans="1:11" x14ac:dyDescent="0.2">
      <c r="A62" s="9" t="s">
        <v>27</v>
      </c>
      <c r="B62">
        <v>259.45</v>
      </c>
      <c r="C62">
        <v>356.11</v>
      </c>
      <c r="D62">
        <v>392</v>
      </c>
      <c r="E62">
        <v>400.2</v>
      </c>
      <c r="F62">
        <v>443.79</v>
      </c>
      <c r="G62">
        <v>383.56</v>
      </c>
      <c r="H62">
        <v>432.8</v>
      </c>
      <c r="I62">
        <v>858.89</v>
      </c>
      <c r="J62">
        <v>1164.54</v>
      </c>
      <c r="K62">
        <v>1535.71</v>
      </c>
    </row>
    <row r="63" spans="1:11" x14ac:dyDescent="0.2">
      <c r="A63" s="9" t="s">
        <v>28</v>
      </c>
      <c r="B63">
        <v>16.350000000000001</v>
      </c>
      <c r="C63">
        <v>33.6</v>
      </c>
      <c r="D63">
        <v>25.35</v>
      </c>
      <c r="E63">
        <v>41.22</v>
      </c>
      <c r="F63">
        <v>67.36</v>
      </c>
      <c r="G63">
        <v>71.53</v>
      </c>
      <c r="H63">
        <v>152.29</v>
      </c>
      <c r="I63">
        <v>83.32</v>
      </c>
      <c r="J63">
        <v>127.06</v>
      </c>
      <c r="K63">
        <v>123.17</v>
      </c>
    </row>
    <row r="64" spans="1:11" x14ac:dyDescent="0.2">
      <c r="A64" s="9" t="s">
        <v>29</v>
      </c>
      <c r="B64">
        <v>241.57</v>
      </c>
      <c r="C64">
        <v>10.97</v>
      </c>
      <c r="D64">
        <v>13.24</v>
      </c>
      <c r="E64">
        <v>14.63</v>
      </c>
      <c r="F64">
        <v>16.87</v>
      </c>
      <c r="G64">
        <v>294.97000000000003</v>
      </c>
      <c r="H64">
        <v>162.34</v>
      </c>
      <c r="I64">
        <v>148.1</v>
      </c>
      <c r="J64">
        <v>266.8</v>
      </c>
      <c r="K64">
        <v>432.06</v>
      </c>
    </row>
    <row r="65" spans="1:11" x14ac:dyDescent="0.2">
      <c r="A65" s="9" t="s">
        <v>73</v>
      </c>
      <c r="B65">
        <v>2007.34</v>
      </c>
      <c r="C65">
        <v>2249.5</v>
      </c>
      <c r="D65">
        <v>2805.63</v>
      </c>
      <c r="E65">
        <v>2894.91</v>
      </c>
      <c r="F65">
        <v>2911.24</v>
      </c>
      <c r="G65">
        <v>2799.39</v>
      </c>
      <c r="H65">
        <v>3565.21</v>
      </c>
      <c r="I65">
        <v>4356.93</v>
      </c>
      <c r="J65">
        <v>5052.87</v>
      </c>
      <c r="K65">
        <v>6157.66</v>
      </c>
    </row>
    <row r="66" spans="1:11" s="1" customFormat="1" x14ac:dyDescent="0.2">
      <c r="A66" s="1" t="s">
        <v>26</v>
      </c>
      <c r="B66">
        <v>2524.71</v>
      </c>
      <c r="C66">
        <v>2650.18</v>
      </c>
      <c r="D66">
        <v>3236.22</v>
      </c>
      <c r="E66">
        <v>3350.96</v>
      </c>
      <c r="F66">
        <v>3439.26</v>
      </c>
      <c r="G66">
        <v>3549.45</v>
      </c>
      <c r="H66">
        <v>4312.6400000000003</v>
      </c>
      <c r="I66">
        <v>5447.24</v>
      </c>
      <c r="J66">
        <v>6611.27</v>
      </c>
      <c r="K66">
        <v>8248.6</v>
      </c>
    </row>
    <row r="67" spans="1:11" s="9" customFormat="1" x14ac:dyDescent="0.2">
      <c r="A67" s="9" t="s">
        <v>78</v>
      </c>
      <c r="B67">
        <v>790.72</v>
      </c>
      <c r="C67">
        <v>938.98</v>
      </c>
      <c r="D67">
        <v>950.42</v>
      </c>
      <c r="E67">
        <v>1112.05</v>
      </c>
      <c r="F67">
        <v>837.67</v>
      </c>
      <c r="G67">
        <v>810.98</v>
      </c>
      <c r="H67">
        <v>1189.74</v>
      </c>
      <c r="I67">
        <v>1548.82</v>
      </c>
      <c r="J67">
        <v>1952.56</v>
      </c>
      <c r="K67">
        <v>1959.37</v>
      </c>
    </row>
    <row r="68" spans="1:11" x14ac:dyDescent="0.2">
      <c r="A68" s="9" t="s">
        <v>45</v>
      </c>
      <c r="B68">
        <v>534.76</v>
      </c>
      <c r="C68">
        <v>595.58000000000004</v>
      </c>
      <c r="D68">
        <v>1017.08</v>
      </c>
      <c r="E68">
        <v>869.32</v>
      </c>
      <c r="F68">
        <v>869.82</v>
      </c>
      <c r="G68">
        <v>882.42</v>
      </c>
      <c r="H68">
        <v>1144.24</v>
      </c>
      <c r="I68">
        <v>1433.39</v>
      </c>
      <c r="J68">
        <v>1407.18</v>
      </c>
      <c r="K68">
        <v>2149.15</v>
      </c>
    </row>
    <row r="69" spans="1:11" x14ac:dyDescent="0.2">
      <c r="A69" s="5" t="s">
        <v>87</v>
      </c>
      <c r="B69">
        <v>45.5</v>
      </c>
      <c r="C69">
        <v>96.57</v>
      </c>
      <c r="D69">
        <v>80.88</v>
      </c>
      <c r="E69">
        <v>100.94</v>
      </c>
      <c r="F69">
        <v>293.94</v>
      </c>
      <c r="G69">
        <v>332.16</v>
      </c>
      <c r="H69">
        <v>269.66000000000003</v>
      </c>
      <c r="I69">
        <v>243.29</v>
      </c>
      <c r="J69">
        <v>377.37</v>
      </c>
      <c r="K69">
        <v>431.92</v>
      </c>
    </row>
    <row r="70" spans="1:11" x14ac:dyDescent="0.2">
      <c r="A70" s="5" t="s">
        <v>74</v>
      </c>
      <c r="B70">
        <v>89951105</v>
      </c>
      <c r="C70">
        <v>95570388</v>
      </c>
      <c r="D70">
        <v>95999788</v>
      </c>
      <c r="E70">
        <v>96313888</v>
      </c>
      <c r="F70">
        <v>96313888</v>
      </c>
      <c r="G70">
        <v>96313888</v>
      </c>
      <c r="H70">
        <v>96313888</v>
      </c>
      <c r="I70">
        <v>96313888</v>
      </c>
      <c r="J70">
        <v>205614788</v>
      </c>
      <c r="K70">
        <v>205614788</v>
      </c>
    </row>
    <row r="71" spans="1:11" x14ac:dyDescent="0.2">
      <c r="A71" s="5" t="s">
        <v>75</v>
      </c>
      <c r="J71">
        <v>96313888</v>
      </c>
    </row>
    <row r="72" spans="1:11" x14ac:dyDescent="0.2">
      <c r="A72" s="5" t="s">
        <v>88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</row>
    <row r="74" spans="1:11" x14ac:dyDescent="0.2">
      <c r="A74" s="9"/>
    </row>
    <row r="75" spans="1:11" x14ac:dyDescent="0.2">
      <c r="A75" s="9"/>
    </row>
    <row r="76" spans="1:11" x14ac:dyDescent="0.2">
      <c r="A76" s="9"/>
    </row>
    <row r="77" spans="1:11" x14ac:dyDescent="0.2">
      <c r="A77" s="9"/>
    </row>
    <row r="78" spans="1:11" x14ac:dyDescent="0.2">
      <c r="A78" s="9"/>
    </row>
    <row r="79" spans="1:11" x14ac:dyDescent="0.2">
      <c r="A79" s="9"/>
    </row>
    <row r="80" spans="1:11" x14ac:dyDescent="0.2">
      <c r="A80" s="1" t="s">
        <v>41</v>
      </c>
    </row>
    <row r="81" spans="1:11" s="24" customFormat="1" x14ac:dyDescent="0.2">
      <c r="A81" s="23" t="s">
        <v>38</v>
      </c>
      <c r="B81" s="16">
        <v>42460</v>
      </c>
      <c r="C81" s="16">
        <v>42825</v>
      </c>
      <c r="D81" s="16">
        <v>43190</v>
      </c>
      <c r="E81" s="16">
        <v>43555</v>
      </c>
      <c r="F81" s="16">
        <v>43921</v>
      </c>
      <c r="G81" s="16">
        <v>44286</v>
      </c>
      <c r="H81" s="16">
        <v>44651</v>
      </c>
      <c r="I81" s="16">
        <v>45016</v>
      </c>
      <c r="J81" s="16">
        <v>45382</v>
      </c>
      <c r="K81" s="16">
        <v>45747</v>
      </c>
    </row>
    <row r="82" spans="1:11" s="1" customFormat="1" x14ac:dyDescent="0.2">
      <c r="A82" s="9" t="s">
        <v>32</v>
      </c>
      <c r="B82">
        <v>256.74</v>
      </c>
      <c r="C82">
        <v>158.52000000000001</v>
      </c>
      <c r="D82">
        <v>18.87</v>
      </c>
      <c r="E82">
        <v>258.41000000000003</v>
      </c>
      <c r="F82">
        <v>449.95</v>
      </c>
      <c r="G82">
        <v>349.81</v>
      </c>
      <c r="H82">
        <v>87.4</v>
      </c>
      <c r="I82">
        <v>243.23</v>
      </c>
      <c r="J82">
        <v>289.22000000000003</v>
      </c>
      <c r="K82">
        <v>688.07</v>
      </c>
    </row>
    <row r="83" spans="1:11" s="9" customFormat="1" x14ac:dyDescent="0.2">
      <c r="A83" s="9" t="s">
        <v>33</v>
      </c>
      <c r="B83">
        <v>-48.5</v>
      </c>
      <c r="C83">
        <v>69.44</v>
      </c>
      <c r="D83">
        <v>-88.32</v>
      </c>
      <c r="E83">
        <v>-64.87</v>
      </c>
      <c r="F83">
        <v>-80.75</v>
      </c>
      <c r="G83">
        <v>-238.46</v>
      </c>
      <c r="H83">
        <v>-67.31</v>
      </c>
      <c r="I83">
        <v>-178.45</v>
      </c>
      <c r="J83">
        <v>-524.23</v>
      </c>
      <c r="K83">
        <v>-463.05</v>
      </c>
    </row>
    <row r="84" spans="1:11" s="9" customFormat="1" x14ac:dyDescent="0.2">
      <c r="A84" s="9" t="s">
        <v>34</v>
      </c>
      <c r="B84">
        <v>-194.9</v>
      </c>
      <c r="C84">
        <v>-203.05</v>
      </c>
      <c r="D84">
        <v>51.39</v>
      </c>
      <c r="E84">
        <v>-180.79</v>
      </c>
      <c r="F84">
        <v>-166.91</v>
      </c>
      <c r="G84">
        <v>-69.569999999999993</v>
      </c>
      <c r="H84">
        <v>-82.37</v>
      </c>
      <c r="I84">
        <v>-75.94</v>
      </c>
      <c r="J84">
        <v>364.83</v>
      </c>
      <c r="K84">
        <v>-162.18</v>
      </c>
    </row>
    <row r="85" spans="1:11" s="1" customFormat="1" x14ac:dyDescent="0.2">
      <c r="A85" s="9" t="s">
        <v>35</v>
      </c>
      <c r="B85">
        <v>13.34</v>
      </c>
      <c r="C85">
        <v>24.91</v>
      </c>
      <c r="D85">
        <v>-18.059999999999999</v>
      </c>
      <c r="E85">
        <v>12.75</v>
      </c>
      <c r="F85">
        <v>202.29</v>
      </c>
      <c r="G85">
        <v>41.78</v>
      </c>
      <c r="H85">
        <v>-62.28</v>
      </c>
      <c r="I85">
        <v>-11.16</v>
      </c>
      <c r="J85">
        <v>129.82</v>
      </c>
      <c r="K85">
        <v>62.84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195.15</v>
      </c>
      <c r="C90">
        <v>346.2</v>
      </c>
      <c r="D90">
        <v>377.73</v>
      </c>
      <c r="E90">
        <v>338.95</v>
      </c>
      <c r="F90">
        <v>229.73</v>
      </c>
      <c r="G90">
        <v>467.1</v>
      </c>
      <c r="H90">
        <v>526.03</v>
      </c>
      <c r="I90">
        <v>689.58</v>
      </c>
      <c r="J90">
        <v>1273.7</v>
      </c>
      <c r="K90">
        <v>2136.4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17.989999999999998</v>
      </c>
      <c r="C93" s="31">
        <v>19.11</v>
      </c>
      <c r="D93" s="31">
        <v>19.2</v>
      </c>
      <c r="E93" s="31">
        <v>19.260000000000002</v>
      </c>
      <c r="F93" s="31">
        <v>19.260000000000002</v>
      </c>
      <c r="G93" s="31">
        <v>19.260000000000002</v>
      </c>
      <c r="H93" s="31">
        <v>19.260000000000002</v>
      </c>
      <c r="I93" s="31">
        <v>19.260000000000002</v>
      </c>
      <c r="J93" s="31">
        <v>20.56</v>
      </c>
      <c r="K93" s="31">
        <v>20.56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